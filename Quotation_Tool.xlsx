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_GB" sheetId="3" state="hidden" r:id="rId3"/>
    <sheet xmlns:r="http://schemas.openxmlformats.org/officeDocument/2006/relationships" name="SL_GB" sheetId="4" state="hidden" r:id="rId4"/>
    <sheet xmlns:r="http://schemas.openxmlformats.org/officeDocument/2006/relationships" name="Freight" sheetId="5" state="hidden" r:id="rId5"/>
  </sheets>
  <definedNames>
    <definedName name="IN_Keys">IN_GB!$A$2:$A$72</definedName>
    <definedName name="IN_ProdNos">IN_GB!$B$2:$B$72</definedName>
    <definedName name="IN_Descs">IN_GB!$C$2:$C$72</definedName>
    <definedName name="IN_PCS">IN_GB!$K$2:$Q$72</definedName>
    <definedName name="IN_FOB">IN_GB!$R$2:$X$72</definedName>
    <definedName name="SL_Keys">SL_GB!$A$2:$A$247</definedName>
    <definedName name="SL_ProdNos">SL_GB!$B$2:$B$247</definedName>
    <definedName name="SL_Descs">SL_GB!$C$2:$C$247</definedName>
    <definedName name="SL_PCS">SL_GB!$K$2:$Q$247</definedName>
    <definedName name="SL_FOB">SL_GB!$R$2:$X$247</definedName>
    <definedName name="FR_Keys">Freight!$A$2:$A$142</definedName>
    <definedName name="FR_Transit">Freight!$E$2:$E$142</definedName>
    <definedName name="FR_AllIn">Freight!$F$2:$F$142</definedName>
    <definedName name="FR_GrossWT">Freight!$G$2:$G$142</definedName>
    <definedName name="FR_Confirmed">Freight!$H$2:$H$142</definedName>
    <definedName name="SizeList">Lists!$A$2:$A$55</definedName>
    <definedName name="ChipsList">Lists!$B$2:$B$12</definedName>
    <definedName name="ECList">Lists!$C$2:$C$6</definedName>
    <definedName name="PlasticList">Lists!$D$2:$D$5</definedName>
    <definedName name="HolesList">Lists!$E$2:$E$3</definedName>
    <definedName name="BSUList">Lists!$F$2:$F$3</definedName>
    <definedName name="DestList">Lists!$G$2:$G$48</definedName>
    <definedName name="WeightTiers">Lists!$H$2:$H$8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2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b val="1"/>
      <color rgb="00FFFFFF"/>
      <sz val="11"/>
    </font>
    <font>
      <name val="Calibri"/>
      <i val="1"/>
      <color rgb="00CC0000"/>
      <sz val="10"/>
    </font>
    <font>
      <name val="Calibri"/>
      <b val="1"/>
      <color rgb="00666666"/>
      <sz val="9"/>
    </font>
    <font>
      <name val="Calibri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E8EEF4"/>
        <bgColor rgb="00E8EEF4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9" fontId="4" fillId="3" borderId="1" applyAlignment="1" pivotButton="0" quotePrefix="0" xfId="0">
      <alignment horizontal="center"/>
    </xf>
    <xf numFmtId="0" fontId="6" fillId="0" borderId="0" pivotButton="0" quotePrefix="0" xfId="0"/>
    <xf numFmtId="0" fontId="6" fillId="5" borderId="1" applyAlignment="1" pivotButton="0" quotePrefix="0" xfId="0">
      <alignment horizontal="center" wrapText="1"/>
    </xf>
    <xf numFmtId="0" fontId="3" fillId="0" borderId="1" pivotButton="0" quotePrefix="0" xfId="0"/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3" fillId="6" borderId="1" pivotButton="0" quotePrefix="0" xfId="0"/>
    <xf numFmtId="0" fontId="4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center"/>
    </xf>
    <xf numFmtId="3" fontId="4" fillId="6" borderId="1" applyAlignment="1" pivotButton="0" quotePrefix="0" xfId="0">
      <alignment horizontal="center"/>
    </xf>
    <xf numFmtId="164" fontId="4" fillId="6" borderId="1" applyAlignment="1" pivotButton="0" quotePrefix="0" xfId="0">
      <alignment horizontal="center"/>
    </xf>
    <xf numFmtId="1" fontId="4" fillId="6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CC0000"/>
          <bgColor rgb="00CC0000"/>
        </patternFill>
      </fill>
    </dxf>
    <dxf>
      <font>
        <b val="1"/>
        <color rgb="00CC0000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20" customWidth="1" min="4" max="4"/>
    <col width="20" customWidth="1" min="5" max="5"/>
    <col width="18" customWidth="1" min="6" max="6"/>
    <col width="18" customWidth="1" min="7" max="7"/>
    <col width="20" customWidth="1" min="8" max="8"/>
    <col width="20" customWidth="1" min="9" max="9"/>
    <col width="5" customWidth="1" min="10" max="10"/>
    <col hidden="1" width="22" customWidth="1" min="11" max="11"/>
  </cols>
  <sheetData>
    <row r="1" ht="35" customHeight="1">
      <c r="A1" s="1" t="inlineStr">
        <is>
          <t>QUOTATION TOOL  --  GB Products</t>
        </is>
      </c>
    </row>
    <row r="3">
      <c r="A3" s="2" t="inlineStr">
        <is>
          <t>INPUT PARAMETERS</t>
        </is>
      </c>
      <c r="B3" s="3" t="n"/>
    </row>
    <row r="4">
      <c r="A4" s="4" t="inlineStr">
        <is>
          <t>GB Size</t>
        </is>
      </c>
      <c r="B4" s="5" t="n"/>
      <c r="K4">
        <f>B4&amp;"|"&amp;B5&amp;"|"&amp;B6&amp;"|"&amp;B7&amp;"|"&amp;B8&amp;"|"&amp;B9</f>
        <v/>
      </c>
    </row>
    <row r="5">
      <c r="A5" s="4" t="inlineStr">
        <is>
          <t>Chips / Pith Ratio</t>
        </is>
      </c>
      <c r="B5" s="5" t="n"/>
      <c r="K5">
        <f>IFERROR(MATCH(K12,WeightTiers,1),0)</f>
        <v/>
      </c>
    </row>
    <row r="6">
      <c r="A6" s="4" t="inlineStr">
        <is>
          <t>EC Level</t>
        </is>
      </c>
      <c r="B6" s="5" t="n"/>
      <c r="K6">
        <f>AND(B4&lt;&gt;"",B5&lt;&gt;"",B6&lt;&gt;"",B7&lt;&gt;"",B8&lt;&gt;"",B9&lt;&gt;"",B10&lt;&gt;"")</f>
        <v/>
      </c>
    </row>
    <row r="7">
      <c r="A7" s="4" t="inlineStr">
        <is>
          <t>Plastic Duration</t>
        </is>
      </c>
      <c r="B7" s="5" t="n"/>
      <c r="K7">
        <f>IFERROR(MATCH(K4,IN_Keys,0),0)</f>
        <v/>
      </c>
    </row>
    <row r="8">
      <c r="A8" s="4" t="inlineStr">
        <is>
          <t>Holes</t>
        </is>
      </c>
      <c r="B8" s="5" t="n"/>
      <c r="K8">
        <f>IFERROR(MATCH(K4,SL_Keys,0),0)</f>
        <v/>
      </c>
    </row>
    <row r="9">
      <c r="A9" s="4" t="inlineStr">
        <is>
          <t>BSU (Bottom Side Up)</t>
        </is>
      </c>
      <c r="B9" s="5" t="n"/>
      <c r="K9">
        <f>IFERROR(MATCH("Cochin, IN|"&amp;B10,FR_Keys,0),0)</f>
        <v/>
      </c>
    </row>
    <row r="10">
      <c r="A10" s="4" t="inlineStr">
        <is>
          <t>Port of Destination</t>
        </is>
      </c>
      <c r="B10" s="5" t="n"/>
      <c r="K10">
        <f>IFERROR(MATCH("Tuticorin, IN|"&amp;B10,FR_Keys,0),0)</f>
        <v/>
      </c>
    </row>
    <row r="11">
      <c r="A11" s="4" t="inlineStr">
        <is>
          <t>Container Gross Weight (MT)</t>
        </is>
      </c>
      <c r="B11" s="6">
        <f>IF(B10="","",IF(K5=0,"N/A",INDEX(WeightTiers,K5)&amp;" MT"&amp;IF(K13=0," (UNCONFIRMED)","")))</f>
        <v/>
      </c>
      <c r="K11">
        <f>IFERROR(MATCH("Colombo, LK|"&amp;B10,FR_Keys,0),0)</f>
        <v/>
      </c>
    </row>
    <row r="12">
      <c r="A12" s="4" t="inlineStr">
        <is>
          <t>Discount (%)</t>
        </is>
      </c>
      <c r="B12" s="7" t="n">
        <v>0.3</v>
      </c>
      <c r="K12">
        <f>IF(K9&gt;0,INDEX(FR_GrossWT,K9),IF(K10&gt;0,INDEX(FR_GrossWT,K10),IF(K11&gt;0,INDEX(FR_GrossWT,K11),0)))</f>
        <v/>
      </c>
    </row>
    <row r="13">
      <c r="A13" s="8">
        <f>IF(AND(B10&lt;&gt;"",K13=0),"WARNING: No confirmed weight data for this destination. Using default 23 MT. Verify before quoting.","")</f>
        <v/>
      </c>
      <c r="K13">
        <f>IF(K9&gt;0,INDEX(FR_Confirmed,K9),IF(K10&gt;0,INDEX(FR_Confirmed,K10),IF(K11&gt;0,INDEX(FR_Confirmed,K11),0)))</f>
        <v/>
      </c>
    </row>
    <row r="14" ht="8" customHeight="1"/>
    <row r="15">
      <c r="A15" s="2" t="inlineStr">
        <is>
          <t>RESULTS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32" customHeight="1">
      <c r="A16" s="9" t="inlineStr">
        <is>
          <t>Source</t>
        </is>
      </c>
      <c r="B16" s="9" t="inlineStr">
        <is>
          <t>Product Code</t>
        </is>
      </c>
      <c r="C16" s="9" t="inlineStr">
        <is>
          <t>FOB Price / Unit ($)</t>
        </is>
      </c>
      <c r="D16" s="9" t="inlineStr">
        <is>
          <t>Disc. FOB / Unit ($)</t>
        </is>
      </c>
      <c r="E16" s="9" t="inlineStr">
        <is>
          <t>Freight / Container ($)</t>
        </is>
      </c>
      <c r="F16" s="9" t="inlineStr">
        <is>
          <t>Units / Container</t>
        </is>
      </c>
      <c r="G16" s="9" t="inlineStr">
        <is>
          <t>Freight / Unit ($)</t>
        </is>
      </c>
      <c r="H16" s="9" t="inlineStr">
        <is>
          <t>Total Cost / Unit ($)</t>
        </is>
      </c>
      <c r="I16" s="9" t="inlineStr">
        <is>
          <t>Transit Time (Days)</t>
        </is>
      </c>
    </row>
    <row r="17">
      <c r="A17" s="10" t="inlineStr">
        <is>
          <t>Cochin, IN</t>
        </is>
      </c>
      <c r="B17" s="11">
        <f>IF(NOT($K$6),"",IF(K7=0,"-",INDEX(IN_ProdNos,K7)))</f>
        <v/>
      </c>
      <c r="C17" s="12">
        <f>IF(NOT($K$6),"",IF(OR(K7=0,$K$5=0),"-",INDEX(IN_FOB,K7,$K$5)))</f>
        <v/>
      </c>
      <c r="D17" s="12">
        <f>IF(NOT($K$6),"",IF(OR(K7=0,$K$5=0),"-",C17*(1-$B$12)))</f>
        <v/>
      </c>
      <c r="E17" s="12">
        <f>IF(NOT($K$6),"",IF(K9=0,"-",INDEX(FR_AllIn,K9)*1.0605))</f>
        <v/>
      </c>
      <c r="F17" s="13">
        <f>IF(NOT($K$6),"",IF(OR(K7=0,$K$5=0),"-",INDEX(IN_PCS,K7,$K$5)))</f>
        <v/>
      </c>
      <c r="G17" s="14">
        <f>IF(NOT($K$6),"",IFERROR(E17/F17,"-"))</f>
        <v/>
      </c>
      <c r="H17" s="14">
        <f>IF(NOT($K$6),"",IFERROR(D17+G17,"-"))</f>
        <v/>
      </c>
      <c r="I17" s="15">
        <f>IF(NOT($K$6),"",IF(K9=0,"-",INDEX(FR_Transit,K9)))</f>
        <v/>
      </c>
    </row>
    <row r="18">
      <c r="A18" s="16" t="inlineStr">
        <is>
          <t>Tuticorin, IN</t>
        </is>
      </c>
      <c r="B18" s="17">
        <f>IF(NOT($K$6),"",IF(K7=0,"-",INDEX(IN_ProdNos,K7)))</f>
        <v/>
      </c>
      <c r="C18" s="18">
        <f>IF(NOT($K$6),"",IF(OR(K7=0,$K$5=0),"-",INDEX(IN_FOB,K7,$K$5)))</f>
        <v/>
      </c>
      <c r="D18" s="18">
        <f>IF(NOT($K$6),"",IF(OR(K7=0,$K$5=0),"-",C18*(1-$B$12)))</f>
        <v/>
      </c>
      <c r="E18" s="18">
        <f>IF(NOT($K$6),"",IF(K10=0,"-",INDEX(FR_AllIn,K10)*1.0605))</f>
        <v/>
      </c>
      <c r="F18" s="19">
        <f>IF(NOT($K$6),"",IF(OR(K7=0,$K$5=0),"-",INDEX(IN_PCS,K7,$K$5)))</f>
        <v/>
      </c>
      <c r="G18" s="20">
        <f>IF(NOT($K$6),"",IFERROR(E18/F18,"-"))</f>
        <v/>
      </c>
      <c r="H18" s="20">
        <f>IF(NOT($K$6),"",IFERROR(D18+G18,"-"))</f>
        <v/>
      </c>
      <c r="I18" s="21">
        <f>IF(NOT($K$6),"",IF(K10=0,"-",INDEX(FR_Transit,K10)))</f>
        <v/>
      </c>
    </row>
    <row r="19">
      <c r="A19" s="10" t="inlineStr">
        <is>
          <t>Colombo, LK</t>
        </is>
      </c>
      <c r="B19" s="11">
        <f>IF(NOT($K$6),"",IF(K8=0,"-",INDEX(SL_ProdNos,K8)))</f>
        <v/>
      </c>
      <c r="C19" s="12">
        <f>IF(NOT($K$6),"",IF(OR(K8=0,$K$5=0),"-",INDEX(SL_FOB,K8,$K$5)))</f>
        <v/>
      </c>
      <c r="D19" s="12">
        <f>IF(NOT($K$6),"",IF(OR(K8=0,$K$5=0),"-",C19*(1-$B$12)))</f>
        <v/>
      </c>
      <c r="E19" s="12">
        <f>IF(NOT($K$6),"",IF(K11=0,"-",INDEX(FR_AllIn,K11)*1.0605))</f>
        <v/>
      </c>
      <c r="F19" s="13">
        <f>IF(NOT($K$6),"",IF(OR(K8=0,$K$5=0),"-",INDEX(SL_PCS,K8,$K$5)))</f>
        <v/>
      </c>
      <c r="G19" s="14">
        <f>IF(NOT($K$6),"",IFERROR(E19/F19,"-"))</f>
        <v/>
      </c>
      <c r="H19" s="14">
        <f>IF(NOT($K$6),"",IFERROR(D19+G19,"-"))</f>
        <v/>
      </c>
      <c r="I19" s="15">
        <f>IF(NOT($K$6),"",IF(K11=0,"-",INDEX(FR_Transit,K11)))</f>
        <v/>
      </c>
    </row>
    <row r="20" ht="8" customHeight="1"/>
    <row r="21">
      <c r="A21" s="22">
        <f>IF(NOT(K6),"Please fill in all input fields above.",IF(AND(K7=0,K8=0),"No results found with the query inputs.",IF(AND(K7&gt;0,K8&gt;0,K9&gt;0,K10&gt;0,K11&gt;0),"",IF(AND(K7=0,K8&gt;0),"Product not available from India.",IF(AND(K7&gt;0,K8=0),"Product not available from Sri Lanka.",IF(AND(K9=0,K10=0,K11&gt;0),"No freight routes available from India to this destination.",IF(AND(K9&gt;0,K10&gt;0,K11=0),"No freight route available from Sri Lanka to this destination.",IF(AND(K9=0,K10=0,K11=0),"No freight routes available to this destination.",""))))))))</f>
        <v/>
      </c>
    </row>
    <row r="22" ht="8" customHeight="1"/>
    <row r="23">
      <c r="A23" s="23" t="inlineStr">
        <is>
          <t>India - Full Description</t>
        </is>
      </c>
      <c r="B23" s="24">
        <f>IF(NOT(K6),"",IF(K7=0,"-",INDEX(IN_Descs,K7)))</f>
        <v/>
      </c>
    </row>
    <row r="24">
      <c r="A24" s="23" t="inlineStr">
        <is>
          <t>Sri Lanka - Full Description</t>
        </is>
      </c>
      <c r="B24" s="24">
        <f>IF(NOT(K6),"",IF(K8=0,"-",INDEX(SL_Descs,K8)))</f>
        <v/>
      </c>
    </row>
  </sheetData>
  <mergeCells count="7">
    <mergeCell ref="A15:I15"/>
    <mergeCell ref="B24:I24"/>
    <mergeCell ref="A13:I13"/>
    <mergeCell ref="A1:I1"/>
    <mergeCell ref="B23:I23"/>
    <mergeCell ref="A3:B3"/>
    <mergeCell ref="A21:I21"/>
  </mergeCells>
  <conditionalFormatting sqref="A13:I13">
    <cfRule type="expression" priority="1" dxfId="0">
      <formula>AND($B$10&lt;&gt;"",$K$13=0)</formula>
    </cfRule>
  </conditionalFormatting>
  <conditionalFormatting sqref="B11">
    <cfRule type="expression" priority="2" dxfId="1">
      <formula>AND($B$10&lt;&gt;"",$K$13=0)</formula>
    </cfRule>
  </conditionalFormatting>
  <conditionalFormatting sqref="C17:C19">
    <cfRule type="expression" priority="3" dxfId="2">
      <formula>AND($B$10&lt;&gt;"",$K$13=0)</formula>
    </cfRule>
  </conditionalFormatting>
  <conditionalFormatting sqref="D17:D19">
    <cfRule type="expression" priority="4" dxfId="2">
      <formula>AND($B$10&lt;&gt;"",$K$13=0)</formula>
    </cfRule>
  </conditionalFormatting>
  <conditionalFormatting sqref="F17:F19">
    <cfRule type="expression" priority="5" dxfId="2">
      <formula>AND($B$10&lt;&gt;"",$K$13=0)</formula>
    </cfRule>
  </conditionalFormatting>
  <conditionalFormatting sqref="H17:H19">
    <cfRule type="expression" priority="6" dxfId="2">
      <formula>AND($B$10&lt;&gt;"",$K$13=0)</formula>
    </cfRule>
  </conditionalFormatting>
  <dataValidations count="7">
    <dataValidation sqref="B4" showDropDown="0" showInputMessage="0" showErrorMessage="0" allowBlank="1" errorTitle="Invalid Input" error="Please select a value from the dropdown list." promptTitle="GB Size" prompt="Select GB Size" type="list">
      <formula1>=SizeList</formula1>
    </dataValidation>
    <dataValidation sqref="B5" showDropDown="0" showInputMessage="0" showErrorMessage="0" allowBlank="1" errorTitle="Invalid Input" error="Please select a value from the dropdown list." promptTitle="Chips / Pith Ratio" prompt="Select Chips / Pith Ratio" type="list">
      <formula1>=ChipsList</formula1>
    </dataValidation>
    <dataValidation sqref="B6" showDropDown="0" showInputMessage="0" showErrorMessage="0" allowBlank="1" errorTitle="Invalid Input" error="Please select a value from the dropdown list." promptTitle="EC Level" prompt="Select EC Level" type="list">
      <formula1>=ECList</formula1>
    </dataValidation>
    <dataValidation sqref="B7" showDropDown="0" showInputMessage="0" showErrorMessage="0" allowBlank="1" errorTitle="Invalid Input" error="Please select a value from the dropdown list." promptTitle="Plastic Duration" prompt="Select Plastic Duration" type="list">
      <formula1>=PlasticList</formula1>
    </dataValidation>
    <dataValidation sqref="B8" showDropDown="0" showInputMessage="0" showErrorMessage="0" allowBlank="1" errorTitle="Invalid Input" error="Please select a value from the dropdown list." promptTitle="Holes" prompt="Select Holes" type="list">
      <formula1>=HolesList</formula1>
    </dataValidation>
    <dataValidation sqref="B9" showDropDown="0" showInputMessage="0" showErrorMessage="0" allowBlank="1" errorTitle="Invalid Input" error="Please select a value from the dropdown list." promptTitle="BSU (Bottom Side Up)" prompt="Select BSU (Bottom Side Up)" type="list">
      <formula1>=BSUList</formula1>
    </dataValidation>
    <dataValidation sqref="B10" showDropDown="0" showInputMessage="0" showErrorMessage="0" allowBlank="1" errorTitle="Invalid Input" error="Please select a value from the dropdown list." promptTitle="Port of Destination" prompt="Select Port of Destination" type="list">
      <formula1>=DestList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Chips_Pith</t>
        </is>
      </c>
      <c r="C1" t="inlineStr">
        <is>
          <t>EC_Level</t>
        </is>
      </c>
      <c r="D1" t="inlineStr">
        <is>
          <t>Plastic</t>
        </is>
      </c>
      <c r="E1" t="inlineStr">
        <is>
          <t>Holes</t>
        </is>
      </c>
      <c r="F1" t="inlineStr">
        <is>
          <t>BSU</t>
        </is>
      </c>
      <c r="G1" t="inlineStr">
        <is>
          <t>Destination</t>
        </is>
      </c>
      <c r="H1" t="inlineStr">
        <is>
          <t>Weight_MT</t>
        </is>
      </c>
    </row>
    <row r="2">
      <c r="A2" t="inlineStr">
        <is>
          <t>100X11X10</t>
        </is>
      </c>
      <c r="B2" t="inlineStr">
        <is>
          <t>12MM</t>
        </is>
      </c>
      <c r="C2" t="inlineStr">
        <is>
          <t>EW</t>
        </is>
      </c>
      <c r="D2" t="inlineStr">
        <is>
          <t>P1Y</t>
        </is>
      </c>
      <c r="E2" t="inlineStr">
        <is>
          <t>HOLES</t>
        </is>
      </c>
      <c r="F2" t="inlineStr">
        <is>
          <t>BSU</t>
        </is>
      </c>
      <c r="G2" t="inlineStr">
        <is>
          <t>Agadir, MA</t>
        </is>
      </c>
      <c r="H2" t="n">
        <v>19.5</v>
      </c>
    </row>
    <row r="3">
      <c r="A3" t="inlineStr">
        <is>
          <t>100X12X12</t>
        </is>
      </c>
      <c r="B3" t="inlineStr">
        <is>
          <t>16MM</t>
        </is>
      </c>
      <c r="C3" t="inlineStr">
        <is>
          <t>FT</t>
        </is>
      </c>
      <c r="D3" t="inlineStr">
        <is>
          <t>P2Y</t>
        </is>
      </c>
      <c r="E3" t="inlineStr">
        <is>
          <t>N/A</t>
        </is>
      </c>
      <c r="F3" t="inlineStr">
        <is>
          <t>N/A</t>
        </is>
      </c>
      <c r="G3" t="inlineStr">
        <is>
          <t>Alexandria, EG</t>
        </is>
      </c>
      <c r="H3" t="n">
        <v>22</v>
      </c>
    </row>
    <row r="4">
      <c r="A4" t="inlineStr">
        <is>
          <t>100X14X15</t>
        </is>
      </c>
      <c r="B4" t="inlineStr">
        <is>
          <t>PLF 1090</t>
        </is>
      </c>
      <c r="C4" t="inlineStr">
        <is>
          <t>NW</t>
        </is>
      </c>
      <c r="D4" t="inlineStr">
        <is>
          <t>P3Y</t>
        </is>
      </c>
      <c r="G4" t="inlineStr">
        <is>
          <t>Algeciras, ES</t>
        </is>
      </c>
      <c r="H4" t="n">
        <v>23</v>
      </c>
    </row>
    <row r="5">
      <c r="A5" t="inlineStr">
        <is>
          <t>100X15X08</t>
        </is>
      </c>
      <c r="B5" t="inlineStr">
        <is>
          <t>PLF 2080</t>
        </is>
      </c>
      <c r="C5" t="inlineStr">
        <is>
          <t>TR</t>
        </is>
      </c>
      <c r="D5" t="inlineStr">
        <is>
          <t>P4Y</t>
        </is>
      </c>
      <c r="G5" t="inlineStr">
        <is>
          <t>Almeria, ES</t>
        </is>
      </c>
      <c r="H5" t="n">
        <v>24</v>
      </c>
    </row>
    <row r="6">
      <c r="A6" t="inlineStr">
        <is>
          <t>100X15X10</t>
        </is>
      </c>
      <c r="B6" t="inlineStr">
        <is>
          <t>PLF 3070</t>
        </is>
      </c>
      <c r="C6" t="inlineStr">
        <is>
          <t>WA</t>
        </is>
      </c>
      <c r="G6" t="inlineStr">
        <is>
          <t>Altamira, MX</t>
        </is>
      </c>
      <c r="H6" t="n">
        <v>25</v>
      </c>
    </row>
    <row r="7">
      <c r="A7" t="inlineStr">
        <is>
          <t>100X15X11</t>
        </is>
      </c>
      <c r="B7" t="inlineStr">
        <is>
          <t>PRO 4060</t>
        </is>
      </c>
      <c r="G7" t="inlineStr">
        <is>
          <t>Ashdod, IL</t>
        </is>
      </c>
      <c r="H7" t="n">
        <v>26</v>
      </c>
    </row>
    <row r="8">
      <c r="A8" t="inlineStr">
        <is>
          <t>100X15X12</t>
        </is>
      </c>
      <c r="B8" t="inlineStr">
        <is>
          <t>PRO 5050</t>
        </is>
      </c>
      <c r="G8" t="inlineStr">
        <is>
          <t>Balboa, PA</t>
        </is>
      </c>
      <c r="H8" t="n">
        <v>27</v>
      </c>
    </row>
    <row r="9">
      <c r="A9" t="inlineStr">
        <is>
          <t>100X15X13</t>
        </is>
      </c>
      <c r="B9" t="inlineStr">
        <is>
          <t>PRO 6040</t>
        </is>
      </c>
      <c r="G9" t="inlineStr">
        <is>
          <t>Barcelona, ES</t>
        </is>
      </c>
    </row>
    <row r="10">
      <c r="A10" t="inlineStr">
        <is>
          <t>100X15X14</t>
        </is>
      </c>
      <c r="B10" t="inlineStr">
        <is>
          <t>PRO 7030</t>
        </is>
      </c>
      <c r="G10" t="inlineStr">
        <is>
          <t>Belfast Northern Ireland, GB</t>
        </is>
      </c>
    </row>
    <row r="11">
      <c r="A11" t="inlineStr">
        <is>
          <t>100X15X15</t>
        </is>
      </c>
      <c r="B11" t="inlineStr">
        <is>
          <t>PRO 8020</t>
        </is>
      </c>
      <c r="G11" t="inlineStr">
        <is>
          <t>Bilbao, ES</t>
        </is>
      </c>
    </row>
    <row r="12">
      <c r="A12" t="inlineStr">
        <is>
          <t>100X15X16</t>
        </is>
      </c>
      <c r="B12" t="inlineStr">
        <is>
          <t>PRO 9010</t>
        </is>
      </c>
      <c r="G12" t="inlineStr">
        <is>
          <t>Burgas, BG</t>
        </is>
      </c>
    </row>
    <row r="13">
      <c r="A13" t="inlineStr">
        <is>
          <t>100X16X08</t>
        </is>
      </c>
      <c r="G13" t="inlineStr">
        <is>
          <t>Cagliari, IT</t>
        </is>
      </c>
    </row>
    <row r="14">
      <c r="A14" t="inlineStr">
        <is>
          <t>100X16X15</t>
        </is>
      </c>
      <c r="G14" t="inlineStr">
        <is>
          <t>Callao, PE</t>
        </is>
      </c>
    </row>
    <row r="15">
      <c r="A15" t="inlineStr">
        <is>
          <t>100X18X08</t>
        </is>
      </c>
      <c r="G15" t="inlineStr">
        <is>
          <t>Cartagena, CO</t>
        </is>
      </c>
    </row>
    <row r="16">
      <c r="A16" t="inlineStr">
        <is>
          <t>100X18X10</t>
        </is>
      </c>
      <c r="G16" t="inlineStr">
        <is>
          <t>Cartagena, ES</t>
        </is>
      </c>
    </row>
    <row r="17">
      <c r="A17" t="inlineStr">
        <is>
          <t>100X18X11</t>
        </is>
      </c>
      <c r="G17" t="inlineStr">
        <is>
          <t>Casablanca, MA</t>
        </is>
      </c>
    </row>
    <row r="18">
      <c r="A18" t="inlineStr">
        <is>
          <t>100X18X12</t>
        </is>
      </c>
      <c r="G18" t="inlineStr">
        <is>
          <t>Dublin, IE</t>
        </is>
      </c>
    </row>
    <row r="19">
      <c r="A19" t="inlineStr">
        <is>
          <t>100X18X14</t>
        </is>
      </c>
      <c r="G19" t="inlineStr">
        <is>
          <t>Genoa Vado Ligure, IT</t>
        </is>
      </c>
    </row>
    <row r="20">
      <c r="A20" t="inlineStr">
        <is>
          <t>100X18X15</t>
        </is>
      </c>
      <c r="G20" t="inlineStr">
        <is>
          <t>Gijon, ES</t>
        </is>
      </c>
    </row>
    <row r="21">
      <c r="A21" t="inlineStr">
        <is>
          <t>100X18X16</t>
        </is>
      </c>
      <c r="G21" t="inlineStr">
        <is>
          <t>Grangemouth, GB</t>
        </is>
      </c>
    </row>
    <row r="22">
      <c r="A22" t="inlineStr">
        <is>
          <t>100X1X2</t>
        </is>
      </c>
      <c r="G22" t="inlineStr">
        <is>
          <t>Guayaquil-Posorja, EC</t>
        </is>
      </c>
    </row>
    <row r="23">
      <c r="A23" t="inlineStr">
        <is>
          <t>100X20X08</t>
        </is>
      </c>
      <c r="G23" t="inlineStr">
        <is>
          <t>Haifa, IL</t>
        </is>
      </c>
    </row>
    <row r="24">
      <c r="A24" t="inlineStr">
        <is>
          <t>100X20X09</t>
        </is>
      </c>
      <c r="G24" t="inlineStr">
        <is>
          <t>Kingston, JM</t>
        </is>
      </c>
    </row>
    <row r="25">
      <c r="A25" t="inlineStr">
        <is>
          <t>100X20X10</t>
        </is>
      </c>
      <c r="G25" t="inlineStr">
        <is>
          <t>La Spezia, IT</t>
        </is>
      </c>
    </row>
    <row r="26">
      <c r="A26" t="inlineStr">
        <is>
          <t>100X20X11</t>
        </is>
      </c>
      <c r="G26" t="inlineStr">
        <is>
          <t>Las Palmas de Gran Canaria, ES</t>
        </is>
      </c>
    </row>
    <row r="27">
      <c r="A27" t="inlineStr">
        <is>
          <t>100X20X12</t>
        </is>
      </c>
      <c r="G27" t="inlineStr">
        <is>
          <t>Leghorn, IT</t>
        </is>
      </c>
    </row>
    <row r="28">
      <c r="A28" t="inlineStr">
        <is>
          <t>100X20X13</t>
        </is>
      </c>
      <c r="G28" t="inlineStr">
        <is>
          <t>Leixoes, PT</t>
        </is>
      </c>
    </row>
    <row r="29">
      <c r="A29" t="inlineStr">
        <is>
          <t>100X20X14</t>
        </is>
      </c>
      <c r="G29" t="inlineStr">
        <is>
          <t>Lisbon, PT</t>
        </is>
      </c>
    </row>
    <row r="30">
      <c r="A30" t="inlineStr">
        <is>
          <t>100X20X15</t>
        </is>
      </c>
      <c r="G30" t="inlineStr">
        <is>
          <t>Liverpool, GB</t>
        </is>
      </c>
    </row>
    <row r="31">
      <c r="A31" t="inlineStr">
        <is>
          <t>100X20X16</t>
        </is>
      </c>
      <c r="G31" t="inlineStr">
        <is>
          <t>London Gateway, GB</t>
        </is>
      </c>
    </row>
    <row r="32">
      <c r="A32" t="inlineStr">
        <is>
          <t>100X30X12</t>
        </is>
      </c>
      <c r="G32" t="inlineStr">
        <is>
          <t>Manzanillo, MX</t>
        </is>
      </c>
    </row>
    <row r="33">
      <c r="A33" t="inlineStr">
        <is>
          <t>100X30X14</t>
        </is>
      </c>
      <c r="G33" t="inlineStr">
        <is>
          <t>Marin, ES</t>
        </is>
      </c>
    </row>
    <row r="34">
      <c r="A34" t="inlineStr">
        <is>
          <t>20X20X15</t>
        </is>
      </c>
      <c r="G34" t="inlineStr">
        <is>
          <t>Mersin, TR</t>
        </is>
      </c>
    </row>
    <row r="35">
      <c r="A35" t="inlineStr">
        <is>
          <t>25X20X18</t>
        </is>
      </c>
      <c r="G35" t="inlineStr">
        <is>
          <t>Naples, IT</t>
        </is>
      </c>
    </row>
    <row r="36">
      <c r="A36" t="inlineStr">
        <is>
          <t>40X20X15</t>
        </is>
      </c>
      <c r="G36" t="inlineStr">
        <is>
          <t>Paita, PE</t>
        </is>
      </c>
    </row>
    <row r="37">
      <c r="A37" t="inlineStr">
        <is>
          <t>50X20X12</t>
        </is>
      </c>
      <c r="G37" t="inlineStr">
        <is>
          <t>Piraeus, GR</t>
        </is>
      </c>
    </row>
    <row r="38">
      <c r="A38" t="inlineStr">
        <is>
          <t>50X20X15</t>
        </is>
      </c>
      <c r="G38" t="inlineStr">
        <is>
          <t>Port Elizabeth, ZA</t>
        </is>
      </c>
    </row>
    <row r="39">
      <c r="A39" t="inlineStr">
        <is>
          <t>50X20X18</t>
        </is>
      </c>
      <c r="G39" t="inlineStr">
        <is>
          <t>Port Tangier Mediterranee, MA</t>
        </is>
      </c>
    </row>
    <row r="40">
      <c r="A40" t="inlineStr">
        <is>
          <t>60X15X12</t>
        </is>
      </c>
      <c r="G40" t="inlineStr">
        <is>
          <t>Poti, GE</t>
        </is>
      </c>
    </row>
    <row r="41">
      <c r="A41" t="inlineStr">
        <is>
          <t>60X18X14</t>
        </is>
      </c>
      <c r="G41" t="inlineStr">
        <is>
          <t>Salerno, IT</t>
        </is>
      </c>
    </row>
    <row r="42">
      <c r="A42" t="inlineStr">
        <is>
          <t>60X20X15</t>
        </is>
      </c>
      <c r="G42" t="inlineStr">
        <is>
          <t>Southampton, GB</t>
        </is>
      </c>
    </row>
    <row r="43">
      <c r="A43" t="inlineStr">
        <is>
          <t>70X15X12</t>
        </is>
      </c>
      <c r="G43" t="inlineStr">
        <is>
          <t>Tarragona, ES</t>
        </is>
      </c>
    </row>
    <row r="44">
      <c r="A44" t="inlineStr">
        <is>
          <t>75X18X14</t>
        </is>
      </c>
      <c r="G44" t="inlineStr">
        <is>
          <t>Tenerife, ES</t>
        </is>
      </c>
    </row>
    <row r="45">
      <c r="A45" t="inlineStr">
        <is>
          <t>75X30X14</t>
        </is>
      </c>
      <c r="G45" t="inlineStr">
        <is>
          <t>Tunis, TN</t>
        </is>
      </c>
    </row>
    <row r="46">
      <c r="A46" t="inlineStr">
        <is>
          <t>80X20X10</t>
        </is>
      </c>
      <c r="G46" t="inlineStr">
        <is>
          <t>Valencia, ES</t>
        </is>
      </c>
    </row>
    <row r="47">
      <c r="A47" t="inlineStr">
        <is>
          <t>80X20X12</t>
        </is>
      </c>
      <c r="G47" t="inlineStr">
        <is>
          <t>Venezia, IT</t>
        </is>
      </c>
    </row>
    <row r="48">
      <c r="A48" t="inlineStr">
        <is>
          <t>80X20X15</t>
        </is>
      </c>
      <c r="G48" t="inlineStr">
        <is>
          <t>Veracruz, MX</t>
        </is>
      </c>
    </row>
    <row r="49">
      <c r="A49" t="inlineStr">
        <is>
          <t>90X13X10</t>
        </is>
      </c>
    </row>
    <row r="50">
      <c r="A50" t="inlineStr">
        <is>
          <t>90X15X7</t>
        </is>
      </c>
    </row>
    <row r="51">
      <c r="A51" t="inlineStr">
        <is>
          <t>90X20X12</t>
        </is>
      </c>
    </row>
    <row r="52">
      <c r="A52" t="inlineStr">
        <is>
          <t>90X20X13</t>
        </is>
      </c>
    </row>
    <row r="53">
      <c r="A53" t="inlineStr">
        <is>
          <t>90X20X15</t>
        </is>
      </c>
    </row>
    <row r="54">
      <c r="A54" t="inlineStr">
        <is>
          <t>90X20X17</t>
        </is>
      </c>
    </row>
    <row r="55">
      <c r="A55" t="inlineStr">
        <is>
          <t>97X18X10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Product_No</t>
        </is>
      </c>
      <c r="C1" t="inlineStr">
        <is>
          <t>Description</t>
        </is>
      </c>
      <c r="D1" t="inlineStr">
        <is>
          <t>Weight</t>
        </is>
      </c>
      <c r="E1" t="inlineStr">
        <is>
          <t>Size</t>
        </is>
      </c>
      <c r="F1" t="inlineStr">
        <is>
          <t>Chips_Pith</t>
        </is>
      </c>
      <c r="G1" t="inlineStr">
        <is>
          <t>EC_Level</t>
        </is>
      </c>
      <c r="H1" t="inlineStr">
        <is>
          <t>Plastic</t>
        </is>
      </c>
      <c r="I1" t="inlineStr">
        <is>
          <t>Holes</t>
        </is>
      </c>
      <c r="J1" t="inlineStr">
        <is>
          <t>BSU</t>
        </is>
      </c>
      <c r="K1" t="inlineStr">
        <is>
          <t>PCS@19.5</t>
        </is>
      </c>
      <c r="L1" t="inlineStr">
        <is>
          <t>PCS@22</t>
        </is>
      </c>
      <c r="M1" t="inlineStr">
        <is>
          <t>PCS@23</t>
        </is>
      </c>
      <c r="N1" t="inlineStr">
        <is>
          <t>PCS@24</t>
        </is>
      </c>
      <c r="O1" t="inlineStr">
        <is>
          <t>PCS@25</t>
        </is>
      </c>
      <c r="P1" t="inlineStr">
        <is>
          <t>PCS@26</t>
        </is>
      </c>
      <c r="Q1" t="inlineStr">
        <is>
          <t>PCS@27</t>
        </is>
      </c>
      <c r="R1" t="inlineStr">
        <is>
          <t>FOB@19.5</t>
        </is>
      </c>
      <c r="S1" t="inlineStr">
        <is>
          <t>FOB@22</t>
        </is>
      </c>
      <c r="T1" t="inlineStr">
        <is>
          <t>FOB@23</t>
        </is>
      </c>
      <c r="U1" t="inlineStr">
        <is>
          <t>FOB@24</t>
        </is>
      </c>
      <c r="V1" t="inlineStr">
        <is>
          <t>FOB@25</t>
        </is>
      </c>
      <c r="W1" t="inlineStr">
        <is>
          <t>FOB@26</t>
        </is>
      </c>
      <c r="X1" t="inlineStr">
        <is>
          <t>FOB@27</t>
        </is>
      </c>
    </row>
    <row r="2">
      <c r="A2" t="inlineStr">
        <is>
          <t>100X18X12|16MM|FT|P3Y|HOLES|N/A</t>
        </is>
      </c>
      <c r="B2" t="inlineStr">
        <is>
          <t>GB-1001812-M057-01</t>
        </is>
      </c>
      <c r="C2" t="inlineStr">
        <is>
          <t>GB 100x18x12 16mm FT P3Y + HOLES</t>
        </is>
      </c>
      <c r="D2" t="n">
        <v>2.45</v>
      </c>
      <c r="E2" t="inlineStr">
        <is>
          <t>100X18X12</t>
        </is>
      </c>
      <c r="F2" t="inlineStr">
        <is>
          <t>16MM</t>
        </is>
      </c>
      <c r="G2" t="inlineStr">
        <is>
          <t>FT</t>
        </is>
      </c>
      <c r="H2" t="inlineStr">
        <is>
          <t>P3Y</t>
        </is>
      </c>
      <c r="I2" t="inlineStr">
        <is>
          <t>HOLES</t>
        </is>
      </c>
      <c r="J2" t="inlineStr">
        <is>
          <t>N/A</t>
        </is>
      </c>
      <c r="K2" t="n">
        <v>7400</v>
      </c>
      <c r="L2" t="n">
        <v>8400</v>
      </c>
      <c r="M2" t="n">
        <v>8800</v>
      </c>
      <c r="N2" t="n">
        <v>9200</v>
      </c>
      <c r="O2" t="n">
        <v>9600</v>
      </c>
      <c r="P2" t="n">
        <v>10000</v>
      </c>
      <c r="Q2" t="n">
        <v>10400</v>
      </c>
      <c r="R2" t="n">
        <v>4.698318200209682</v>
      </c>
      <c r="S2" t="n">
        <v>4.677680964759947</v>
      </c>
      <c r="T2" t="n">
        <v>4.670739349199581</v>
      </c>
      <c r="U2" t="n">
        <v>4.664401352383596</v>
      </c>
      <c r="V2" t="n">
        <v>4.658591521968942</v>
      </c>
      <c r="W2" t="n">
        <v>4.65324647798746</v>
      </c>
      <c r="X2" t="n">
        <v>4.648312591235324</v>
      </c>
    </row>
    <row r="3">
      <c r="A3" t="inlineStr">
        <is>
          <t>100X18X14|PLF 3070|NW|P2Y|HOLES|N/A</t>
        </is>
      </c>
      <c r="B3" t="inlineStr">
        <is>
          <t>GB-1001814-M107-26</t>
        </is>
      </c>
      <c r="C3" t="inlineStr">
        <is>
          <t>GB 100x18x14 PLF 3070 NW P2Y+HOLES</t>
        </is>
      </c>
      <c r="D3" t="n">
        <v>3.05</v>
      </c>
      <c r="E3" t="inlineStr">
        <is>
          <t>100X18X14</t>
        </is>
      </c>
      <c r="F3" t="inlineStr">
        <is>
          <t>PLF 3070</t>
        </is>
      </c>
      <c r="G3" t="inlineStr">
        <is>
          <t>NW</t>
        </is>
      </c>
      <c r="H3" t="inlineStr">
        <is>
          <t>P2Y</t>
        </is>
      </c>
      <c r="I3" t="inlineStr">
        <is>
          <t>HOLES</t>
        </is>
      </c>
      <c r="J3" t="inlineStr">
        <is>
          <t>N/A</t>
        </is>
      </c>
      <c r="K3" t="n">
        <v>6000</v>
      </c>
      <c r="L3" t="n">
        <v>6800</v>
      </c>
      <c r="M3" t="n">
        <v>7000</v>
      </c>
      <c r="N3" t="n">
        <v>7400</v>
      </c>
      <c r="O3" t="n">
        <v>7800</v>
      </c>
      <c r="P3" t="n">
        <v>8000</v>
      </c>
      <c r="Q3" t="n">
        <v>8400</v>
      </c>
      <c r="R3" t="n">
        <v>3.871615478048776</v>
      </c>
      <c r="S3" t="n">
        <v>3.846462329900629</v>
      </c>
      <c r="T3" t="n">
        <v>3.841072369583169</v>
      </c>
      <c r="U3" t="n">
        <v>3.831166496567295</v>
      </c>
      <c r="V3" t="n">
        <v>3.822276610527409</v>
      </c>
      <c r="W3" t="n">
        <v>3.818165038233962</v>
      </c>
      <c r="X3" t="n">
        <v>3.81052926111756</v>
      </c>
    </row>
    <row r="4">
      <c r="A4" t="inlineStr">
        <is>
          <t>75X18X14|PLF 3070|NW|P2Y|HOLES|N/A</t>
        </is>
      </c>
      <c r="B4" t="inlineStr">
        <is>
          <t>GB-751814-M107-01</t>
        </is>
      </c>
      <c r="C4" t="inlineStr">
        <is>
          <t>GB 75x18x14 PLF 3070 NW P2Y + HOLES</t>
        </is>
      </c>
      <c r="D4" t="n">
        <v>2.25</v>
      </c>
      <c r="E4" t="inlineStr">
        <is>
          <t>75X18X14</t>
        </is>
      </c>
      <c r="F4" t="inlineStr">
        <is>
          <t>PLF 3070</t>
        </is>
      </c>
      <c r="G4" t="inlineStr">
        <is>
          <t>NW</t>
        </is>
      </c>
      <c r="H4" t="inlineStr">
        <is>
          <t>P2Y</t>
        </is>
      </c>
      <c r="I4" t="inlineStr">
        <is>
          <t>HOLES</t>
        </is>
      </c>
      <c r="J4" t="inlineStr">
        <is>
          <t>N/A</t>
        </is>
      </c>
      <c r="K4" t="n">
        <v>8000</v>
      </c>
      <c r="L4" t="n">
        <v>9200</v>
      </c>
      <c r="M4" t="n">
        <v>9600</v>
      </c>
      <c r="N4" t="n">
        <v>10000</v>
      </c>
      <c r="O4" t="n">
        <v>10400</v>
      </c>
      <c r="P4" t="n">
        <v>11000</v>
      </c>
      <c r="Q4" t="n">
        <v>11400</v>
      </c>
      <c r="R4" t="n">
        <v>3.098945870230088</v>
      </c>
      <c r="S4" t="n">
        <v>3.078030480737334</v>
      </c>
      <c r="T4" t="n">
        <v>3.07222065032268</v>
      </c>
      <c r="U4" t="n">
        <v>3.066875606341199</v>
      </c>
      <c r="V4" t="n">
        <v>3.061941719589062</v>
      </c>
      <c r="W4" t="n">
        <v>3.055213692199784</v>
      </c>
      <c r="X4" t="n">
        <v>3.051121792501043</v>
      </c>
    </row>
    <row r="5">
      <c r="A5" t="inlineStr">
        <is>
          <t>100X20X16|PRO 7030|NW|P3Y|HOLES|N/A</t>
        </is>
      </c>
      <c r="B5" t="inlineStr">
        <is>
          <t>GB-1002016-M103-01</t>
        </is>
      </c>
      <c r="C5" t="inlineStr">
        <is>
          <t>GB 100x20x16 PRO 7030 NW P3Y + HOLES</t>
        </is>
      </c>
      <c r="D5" t="n">
        <v>3.95</v>
      </c>
      <c r="E5" t="inlineStr">
        <is>
          <t>100X20X16</t>
        </is>
      </c>
      <c r="F5" t="inlineStr">
        <is>
          <t>PRO 7030</t>
        </is>
      </c>
      <c r="G5" t="inlineStr">
        <is>
          <t>NW</t>
        </is>
      </c>
      <c r="H5" t="inlineStr">
        <is>
          <t>P3Y</t>
        </is>
      </c>
      <c r="I5" t="inlineStr">
        <is>
          <t>HOLES</t>
        </is>
      </c>
      <c r="J5" t="inlineStr">
        <is>
          <t>N/A</t>
        </is>
      </c>
      <c r="K5" t="n">
        <v>4600</v>
      </c>
      <c r="L5" t="n">
        <v>5200</v>
      </c>
      <c r="M5" t="n">
        <v>5400</v>
      </c>
      <c r="N5" t="n">
        <v>5600</v>
      </c>
      <c r="O5" t="n">
        <v>6000</v>
      </c>
      <c r="P5" t="n">
        <v>6200</v>
      </c>
      <c r="Q5" t="n">
        <v>6400</v>
      </c>
      <c r="R5" t="n">
        <v>4.321261377955768</v>
      </c>
      <c r="S5" t="n">
        <v>4.289083855659224</v>
      </c>
      <c r="T5" t="n">
        <v>4.279947028340452</v>
      </c>
      <c r="U5" t="n">
        <v>4.27146283154445</v>
      </c>
      <c r="V5" t="n">
        <v>4.256191277311645</v>
      </c>
      <c r="W5" t="n">
        <v>4.249294446367798</v>
      </c>
      <c r="X5" t="n">
        <v>4.242828667357942</v>
      </c>
    </row>
    <row r="6">
      <c r="A6" t="inlineStr">
        <is>
          <t>100X11X10|16MM|NW|P1Y|HOLES|BSU</t>
        </is>
      </c>
      <c r="B6" t="inlineStr">
        <is>
          <t>GB-1001110-M003-06</t>
        </is>
      </c>
      <c r="C6" t="inlineStr">
        <is>
          <t>GB 100x11x10 16mm NW BSU P1Y + HOLES</t>
        </is>
      </c>
      <c r="D6" t="n">
        <v>1.25</v>
      </c>
      <c r="E6" t="inlineStr">
        <is>
          <t>100X11X10</t>
        </is>
      </c>
      <c r="F6" t="inlineStr">
        <is>
          <t>16MM</t>
        </is>
      </c>
      <c r="G6" t="inlineStr">
        <is>
          <t>NW</t>
        </is>
      </c>
      <c r="H6" t="inlineStr">
        <is>
          <t>P1Y</t>
        </is>
      </c>
      <c r="I6" t="inlineStr">
        <is>
          <t>HOLES</t>
        </is>
      </c>
      <c r="J6" t="inlineStr">
        <is>
          <t>BSU</t>
        </is>
      </c>
      <c r="K6" t="n">
        <v>14600</v>
      </c>
      <c r="L6" t="n">
        <v>16600</v>
      </c>
      <c r="M6" t="n">
        <v>17400</v>
      </c>
      <c r="N6" t="n">
        <v>18200</v>
      </c>
      <c r="O6" t="n">
        <v>19000</v>
      </c>
      <c r="P6" t="n">
        <v>19800</v>
      </c>
      <c r="Q6" t="n">
        <v>20600</v>
      </c>
      <c r="R6" t="n">
        <v>2.066149499236789</v>
      </c>
      <c r="S6" t="n">
        <v>2.055563506865477</v>
      </c>
      <c r="T6" t="n">
        <v>2.05201050712706</v>
      </c>
      <c r="U6" t="n">
        <v>2.048769859013998</v>
      </c>
      <c r="V6" t="n">
        <v>2.045802107584141</v>
      </c>
      <c r="W6" t="n">
        <v>2.043074174451647</v>
      </c>
      <c r="X6" t="n">
        <v>2.040558119620705</v>
      </c>
    </row>
    <row r="7">
      <c r="A7" t="inlineStr">
        <is>
          <t>100X18X08|PRO 5050|TR|P2Y|HOLES|BSU</t>
        </is>
      </c>
      <c r="B7" t="inlineStr">
        <is>
          <t>GB-1001808-M174-01</t>
        </is>
      </c>
      <c r="C7" t="inlineStr">
        <is>
          <t>GB 100x18x08 PRO 5050 TR BSU P2Y + HOLES</t>
        </is>
      </c>
      <c r="D7" t="n">
        <v>1.75</v>
      </c>
      <c r="E7" t="inlineStr">
        <is>
          <t>100X18X08</t>
        </is>
      </c>
      <c r="F7" t="inlineStr">
        <is>
          <t>PRO 5050</t>
        </is>
      </c>
      <c r="G7" t="inlineStr">
        <is>
          <t>TR</t>
        </is>
      </c>
      <c r="H7" t="inlineStr">
        <is>
          <t>P2Y</t>
        </is>
      </c>
      <c r="I7" t="inlineStr">
        <is>
          <t>HOLES</t>
        </is>
      </c>
      <c r="J7" t="inlineStr">
        <is>
          <t>BSU</t>
        </is>
      </c>
      <c r="K7" t="n">
        <v>10400</v>
      </c>
      <c r="L7" t="n">
        <v>11800</v>
      </c>
      <c r="M7" t="n">
        <v>12400</v>
      </c>
      <c r="N7" t="n">
        <v>13000</v>
      </c>
      <c r="O7" t="n">
        <v>13600</v>
      </c>
      <c r="P7" t="n">
        <v>14000</v>
      </c>
      <c r="Q7" t="n">
        <v>14600</v>
      </c>
      <c r="R7" t="n">
        <v>3.030317186687393</v>
      </c>
      <c r="S7" t="n">
        <v>3.01568277682936</v>
      </c>
      <c r="T7" t="n">
        <v>3.01042248204168</v>
      </c>
      <c r="U7" t="n">
        <v>3.005647752926709</v>
      </c>
      <c r="V7" t="n">
        <v>3.00129432343953</v>
      </c>
      <c r="W7" t="n">
        <v>2.998599343280799</v>
      </c>
      <c r="X7" t="n">
        <v>2.994833754565862</v>
      </c>
    </row>
    <row r="8">
      <c r="A8" t="inlineStr">
        <is>
          <t>100X20X08|16MM|WA|P2Y|HOLES|N/A</t>
        </is>
      </c>
      <c r="B8" t="inlineStr">
        <is>
          <t>GB-1002008-M042-01</t>
        </is>
      </c>
      <c r="C8" t="inlineStr">
        <is>
          <t>GB 100x20x08 16mm WA P2Y + HOLES (black cover)</t>
        </is>
      </c>
      <c r="D8" t="n">
        <v>1.85</v>
      </c>
      <c r="E8" t="inlineStr">
        <is>
          <t>100X20X08</t>
        </is>
      </c>
      <c r="F8" t="inlineStr">
        <is>
          <t>16MM</t>
        </is>
      </c>
      <c r="G8" t="inlineStr">
        <is>
          <t>WA</t>
        </is>
      </c>
      <c r="H8" t="inlineStr">
        <is>
          <t>P2Y</t>
        </is>
      </c>
      <c r="I8" t="inlineStr">
        <is>
          <t>HOLES</t>
        </is>
      </c>
      <c r="J8" t="inlineStr">
        <is>
          <t>N/A</t>
        </is>
      </c>
      <c r="K8" t="n">
        <v>9800</v>
      </c>
      <c r="L8" t="n">
        <v>11200</v>
      </c>
      <c r="M8" t="n">
        <v>11600</v>
      </c>
      <c r="N8" t="n">
        <v>12200</v>
      </c>
      <c r="O8" t="n">
        <v>12800</v>
      </c>
      <c r="P8" t="n">
        <v>13400</v>
      </c>
      <c r="Q8" t="n">
        <v>13800</v>
      </c>
      <c r="R8" t="n">
        <v>3.04155210338901</v>
      </c>
      <c r="S8" t="n">
        <v>3.025189723853863</v>
      </c>
      <c r="T8" t="n">
        <v>3.021240183966068</v>
      </c>
      <c r="U8" t="n">
        <v>3.015801473300909</v>
      </c>
      <c r="V8" t="n">
        <v>3.010872641760609</v>
      </c>
      <c r="W8" t="n">
        <v>3.006385198119439</v>
      </c>
      <c r="X8" t="n">
        <v>3.003610353742292</v>
      </c>
    </row>
    <row r="9">
      <c r="A9" t="inlineStr">
        <is>
          <t>100X15X12|PRO 6040|NW|P2Y|HOLES|N/A</t>
        </is>
      </c>
      <c r="B9" t="inlineStr">
        <is>
          <t>GB-1001512-M104-01</t>
        </is>
      </c>
      <c r="C9" t="inlineStr">
        <is>
          <t>GB 100x15x12 PRO 6040 NW P2Y + HOLES</t>
        </is>
      </c>
      <c r="D9" t="n">
        <v>2.05</v>
      </c>
      <c r="E9" t="inlineStr">
        <is>
          <t>100X15X12</t>
        </is>
      </c>
      <c r="F9" t="inlineStr">
        <is>
          <t>PRO 6040</t>
        </is>
      </c>
      <c r="G9" t="inlineStr">
        <is>
          <t>NW</t>
        </is>
      </c>
      <c r="H9" t="inlineStr">
        <is>
          <t>P2Y</t>
        </is>
      </c>
      <c r="I9" t="inlineStr">
        <is>
          <t>HOLES</t>
        </is>
      </c>
      <c r="J9" t="inlineStr">
        <is>
          <t>N/A</t>
        </is>
      </c>
      <c r="K9" t="n">
        <v>8800</v>
      </c>
      <c r="L9" t="n">
        <v>10000</v>
      </c>
      <c r="M9" t="n">
        <v>10600</v>
      </c>
      <c r="N9" t="n">
        <v>11000</v>
      </c>
      <c r="O9" t="n">
        <v>11600</v>
      </c>
      <c r="P9" t="n">
        <v>12000</v>
      </c>
      <c r="Q9" t="n">
        <v>12400</v>
      </c>
      <c r="R9" t="n">
        <v>2.550879210932185</v>
      </c>
      <c r="S9" t="n">
        <v>2.533386339720064</v>
      </c>
      <c r="T9" t="n">
        <v>2.526125147896164</v>
      </c>
      <c r="U9" t="n">
        <v>2.52172442557865</v>
      </c>
      <c r="V9" t="n">
        <v>2.515692401022746</v>
      </c>
      <c r="W9" t="n">
        <v>2.512006163794138</v>
      </c>
      <c r="X9" t="n">
        <v>2.508557748322214</v>
      </c>
    </row>
    <row r="10">
      <c r="A10" t="inlineStr">
        <is>
          <t>100X11X10|16MM|NW|P2Y|HOLES|N/A</t>
        </is>
      </c>
      <c r="B10" t="inlineStr">
        <is>
          <t>GB-1001110-M003-01</t>
        </is>
      </c>
      <c r="C10" t="inlineStr">
        <is>
          <t>GB 100x11x10 16mm NW P2Y + HOLES</t>
        </is>
      </c>
      <c r="D10" t="n">
        <v>1.25</v>
      </c>
      <c r="E10" t="inlineStr">
        <is>
          <t>100X11X10</t>
        </is>
      </c>
      <c r="F10" t="inlineStr">
        <is>
          <t>16MM</t>
        </is>
      </c>
      <c r="G10" t="inlineStr">
        <is>
          <t>NW</t>
        </is>
      </c>
      <c r="H10" t="inlineStr">
        <is>
          <t>P2Y</t>
        </is>
      </c>
      <c r="I10" t="inlineStr">
        <is>
          <t>HOLES</t>
        </is>
      </c>
      <c r="J10" t="inlineStr">
        <is>
          <t>N/A</t>
        </is>
      </c>
      <c r="K10" t="n">
        <v>14600</v>
      </c>
      <c r="L10" t="n">
        <v>16600</v>
      </c>
      <c r="M10" t="n">
        <v>17400</v>
      </c>
      <c r="N10" t="n">
        <v>18200</v>
      </c>
      <c r="O10" t="n">
        <v>19000</v>
      </c>
      <c r="P10" t="n">
        <v>19800</v>
      </c>
      <c r="Q10" t="n">
        <v>20600</v>
      </c>
      <c r="R10" t="n">
        <v>2.086437832570123</v>
      </c>
      <c r="S10" t="n">
        <v>2.075851840198811</v>
      </c>
      <c r="T10" t="n">
        <v>2.072298840460394</v>
      </c>
      <c r="U10" t="n">
        <v>2.069058192347331</v>
      </c>
      <c r="V10" t="n">
        <v>2.066090440917475</v>
      </c>
      <c r="W10" t="n">
        <v>2.06336250778498</v>
      </c>
      <c r="X10" t="n">
        <v>2.060846452954038</v>
      </c>
    </row>
    <row r="11">
      <c r="A11" t="inlineStr">
        <is>
          <t>100X15X12|PLF 3070|NW|P1Y|N/A|N/A</t>
        </is>
      </c>
      <c r="B11" t="inlineStr">
        <is>
          <t>GB-1001512-M107-02</t>
        </is>
      </c>
      <c r="C11" t="inlineStr">
        <is>
          <t>GB 100x15x12 PLF 3070 NW P1Y</t>
        </is>
      </c>
      <c r="D11" t="n">
        <v>2.09</v>
      </c>
      <c r="E11" t="inlineStr">
        <is>
          <t>100X15X12</t>
        </is>
      </c>
      <c r="F11" t="inlineStr">
        <is>
          <t>PLF 3070</t>
        </is>
      </c>
      <c r="G11" t="inlineStr">
        <is>
          <t>NW</t>
        </is>
      </c>
      <c r="H11" t="inlineStr">
        <is>
          <t>P1Y</t>
        </is>
      </c>
      <c r="I11" t="inlineStr">
        <is>
          <t>N/A</t>
        </is>
      </c>
      <c r="J11" t="inlineStr">
        <is>
          <t>N/A</t>
        </is>
      </c>
      <c r="K11" t="n">
        <v>8600</v>
      </c>
      <c r="L11" t="n">
        <v>9800</v>
      </c>
      <c r="M11" t="n">
        <v>10400</v>
      </c>
      <c r="N11" t="n">
        <v>10800</v>
      </c>
      <c r="O11" t="n">
        <v>11200</v>
      </c>
      <c r="P11" t="n">
        <v>11800</v>
      </c>
      <c r="Q11" t="n">
        <v>12200</v>
      </c>
      <c r="R11" t="n">
        <v>2.853967969144098</v>
      </c>
      <c r="S11" t="n">
        <v>2.835702987337422</v>
      </c>
      <c r="T11" t="n">
        <v>2.828151119859661</v>
      </c>
      <c r="U11" t="n">
        <v>2.823582706200276</v>
      </c>
      <c r="V11" t="n">
        <v>2.819340607802274</v>
      </c>
      <c r="W11" t="n">
        <v>2.813516710001629</v>
      </c>
      <c r="X11" t="n">
        <v>2.809952357249321</v>
      </c>
    </row>
    <row r="12">
      <c r="A12" t="inlineStr">
        <is>
          <t>100X15X12|PRO 6040|EW|P1Y|HOLES|N/A</t>
        </is>
      </c>
      <c r="B12" t="inlineStr">
        <is>
          <t>GB-1001512-M132-01</t>
        </is>
      </c>
      <c r="C12" t="inlineStr">
        <is>
          <t>GB 100x15x12 PRO 6040 EW P1Y + HOLES</t>
        </is>
      </c>
      <c r="D12" t="n">
        <v>2.2</v>
      </c>
      <c r="E12" t="inlineStr">
        <is>
          <t>100X15X12</t>
        </is>
      </c>
      <c r="F12" t="inlineStr">
        <is>
          <t>PRO 6040</t>
        </is>
      </c>
      <c r="G12" t="inlineStr">
        <is>
          <t>EW</t>
        </is>
      </c>
      <c r="H12" t="inlineStr">
        <is>
          <t>P1Y</t>
        </is>
      </c>
      <c r="I12" t="inlineStr">
        <is>
          <t>HOLES</t>
        </is>
      </c>
      <c r="J12" t="inlineStr">
        <is>
          <t>N/A</t>
        </is>
      </c>
      <c r="K12" t="n">
        <v>8200</v>
      </c>
      <c r="L12" t="n">
        <v>9400</v>
      </c>
      <c r="M12" t="n">
        <v>9800</v>
      </c>
      <c r="N12" t="n">
        <v>10200</v>
      </c>
      <c r="O12" t="n">
        <v>10800</v>
      </c>
      <c r="P12" t="n">
        <v>11200</v>
      </c>
      <c r="Q12" t="n">
        <v>11600</v>
      </c>
      <c r="R12" t="n">
        <v>3.107450792829877</v>
      </c>
      <c r="S12" t="n">
        <v>3.087479689214585</v>
      </c>
      <c r="T12" t="n">
        <v>3.081909517457939</v>
      </c>
      <c r="U12" t="n">
        <v>3.076776221917501</v>
      </c>
      <c r="V12" t="n">
        <v>3.069789236320793</v>
      </c>
      <c r="W12" t="n">
        <v>3.065547137922792</v>
      </c>
      <c r="X12" t="n">
        <v>3.061597598034998</v>
      </c>
    </row>
    <row r="13">
      <c r="A13" t="inlineStr">
        <is>
          <t>100X20X10|PRO 6040|EW|P1Y|HOLES|N/A</t>
        </is>
      </c>
      <c r="B13" t="inlineStr">
        <is>
          <t>GB-1002010-M132-01</t>
        </is>
      </c>
      <c r="C13" t="inlineStr">
        <is>
          <t>GB 100x20x10 PRO 6040 EW P1Y + HOLES</t>
        </is>
      </c>
      <c r="D13" t="n">
        <v>2.4</v>
      </c>
      <c r="E13" t="inlineStr">
        <is>
          <t>100X20X10</t>
        </is>
      </c>
      <c r="F13" t="inlineStr">
        <is>
          <t>PRO 6040</t>
        </is>
      </c>
      <c r="G13" t="inlineStr">
        <is>
          <t>EW</t>
        </is>
      </c>
      <c r="H13" t="inlineStr">
        <is>
          <t>P1Y</t>
        </is>
      </c>
      <c r="I13" t="inlineStr">
        <is>
          <t>HOLES</t>
        </is>
      </c>
      <c r="J13" t="inlineStr">
        <is>
          <t>N/A</t>
        </is>
      </c>
      <c r="K13" t="n">
        <v>7600</v>
      </c>
      <c r="L13" t="n">
        <v>8600</v>
      </c>
      <c r="M13" t="n">
        <v>9000</v>
      </c>
      <c r="N13" t="n">
        <v>9400</v>
      </c>
      <c r="O13" t="n">
        <v>9800</v>
      </c>
      <c r="P13" t="n">
        <v>10200</v>
      </c>
      <c r="Q13" t="n">
        <v>10600</v>
      </c>
      <c r="R13" t="n">
        <v>3.319811772665624</v>
      </c>
      <c r="S13" t="n">
        <v>3.300184928180379</v>
      </c>
      <c r="T13" t="n">
        <v>3.293555416265364</v>
      </c>
      <c r="U13" t="n">
        <v>3.28749011813035</v>
      </c>
      <c r="V13" t="n">
        <v>3.281919946373703</v>
      </c>
      <c r="W13" t="n">
        <v>3.276786650833265</v>
      </c>
      <c r="X13" t="n">
        <v>3.27204077382418</v>
      </c>
    </row>
    <row r="14">
      <c r="A14" t="inlineStr">
        <is>
          <t>100X15X12|PRO 6040|NW|P2Y|HOLES|BSU</t>
        </is>
      </c>
      <c r="B14" t="inlineStr">
        <is>
          <t>GB-1001512-M104-10</t>
        </is>
      </c>
      <c r="C14" t="inlineStr">
        <is>
          <t>GB 100x15x12 PRO 6040 NW BSU P2Y+HOLES</t>
        </is>
      </c>
      <c r="D14" t="n">
        <v>2.2</v>
      </c>
      <c r="E14" t="inlineStr">
        <is>
          <t>100X15X12</t>
        </is>
      </c>
      <c r="F14" t="inlineStr">
        <is>
          <t>PRO 6040</t>
        </is>
      </c>
      <c r="G14" t="inlineStr">
        <is>
          <t>NW</t>
        </is>
      </c>
      <c r="H14" t="inlineStr">
        <is>
          <t>P2Y</t>
        </is>
      </c>
      <c r="I14" t="inlineStr">
        <is>
          <t>HOLES</t>
        </is>
      </c>
      <c r="J14" t="inlineStr">
        <is>
          <t>BSU</t>
        </is>
      </c>
      <c r="K14" t="n">
        <v>8200</v>
      </c>
      <c r="L14" t="n">
        <v>9400</v>
      </c>
      <c r="M14" t="n">
        <v>9800</v>
      </c>
      <c r="N14" t="n">
        <v>10200</v>
      </c>
      <c r="O14" t="n">
        <v>10800</v>
      </c>
      <c r="P14" t="n">
        <v>11200</v>
      </c>
      <c r="Q14" t="n">
        <v>11600</v>
      </c>
      <c r="R14" t="n">
        <v>2.732436059496544</v>
      </c>
      <c r="S14" t="n">
        <v>2.712464955881252</v>
      </c>
      <c r="T14" t="n">
        <v>2.706894784124606</v>
      </c>
      <c r="U14" t="n">
        <v>2.701761488584168</v>
      </c>
      <c r="V14" t="n">
        <v>2.69477450298746</v>
      </c>
      <c r="W14" t="n">
        <v>2.690532404589459</v>
      </c>
      <c r="X14" t="n">
        <v>2.686582864701665</v>
      </c>
    </row>
    <row r="15">
      <c r="A15" t="inlineStr">
        <is>
          <t>100X20X08|16MM|EW|P2Y|HOLES|N/A</t>
        </is>
      </c>
      <c r="B15" t="inlineStr">
        <is>
          <t>GB-1002008-M021-01</t>
        </is>
      </c>
      <c r="C15" t="inlineStr">
        <is>
          <t>GB 100x20x08 16mm EW P2Y+ HOLES (White plastic bag)</t>
        </is>
      </c>
      <c r="D15" t="n">
        <v>1.777777777777778</v>
      </c>
      <c r="E15" t="inlineStr">
        <is>
          <t>100X20X08</t>
        </is>
      </c>
      <c r="F15" t="inlineStr">
        <is>
          <t>16MM</t>
        </is>
      </c>
      <c r="G15" t="inlineStr">
        <is>
          <t>EW</t>
        </is>
      </c>
      <c r="H15" t="inlineStr">
        <is>
          <t>P2Y</t>
        </is>
      </c>
      <c r="I15" t="inlineStr">
        <is>
          <t>HOLES</t>
        </is>
      </c>
      <c r="J15" t="inlineStr">
        <is>
          <t>N/A</t>
        </is>
      </c>
      <c r="K15" t="n">
        <v>10200</v>
      </c>
      <c r="L15" t="n">
        <v>11600</v>
      </c>
      <c r="M15" t="n">
        <v>12200</v>
      </c>
      <c r="N15" t="n">
        <v>12800</v>
      </c>
      <c r="O15" t="n">
        <v>13200</v>
      </c>
      <c r="P15" t="n">
        <v>13800</v>
      </c>
      <c r="Q15" t="n">
        <v>14400</v>
      </c>
      <c r="R15" t="n">
        <v>2.992019808374666</v>
      </c>
      <c r="S15" t="n">
        <v>2.976841184492163</v>
      </c>
      <c r="T15" t="n">
        <v>2.971402473827004</v>
      </c>
      <c r="U15" t="n">
        <v>2.966473642286703</v>
      </c>
      <c r="V15" t="n">
        <v>2.963436685479043</v>
      </c>
      <c r="W15" t="n">
        <v>2.959211354268386</v>
      </c>
      <c r="X15" t="n">
        <v>2.95533813399195</v>
      </c>
    </row>
    <row r="16">
      <c r="A16" t="inlineStr">
        <is>
          <t>100X20X08|16MM|EW|P2Y|HOLES|N/A</t>
        </is>
      </c>
      <c r="B16" t="inlineStr">
        <is>
          <t>GB-1002008-M021-04</t>
        </is>
      </c>
      <c r="C16" t="inlineStr">
        <is>
          <t xml:space="preserve">GB 100x20x08 16mm EW P2Y+ HOLES (Black plastic bag) </t>
        </is>
      </c>
      <c r="D16" t="n">
        <v>1.777777777777778</v>
      </c>
      <c r="E16" t="inlineStr">
        <is>
          <t>100X20X08</t>
        </is>
      </c>
      <c r="F16" t="inlineStr">
        <is>
          <t>16MM</t>
        </is>
      </c>
      <c r="G16" t="inlineStr">
        <is>
          <t>EW</t>
        </is>
      </c>
      <c r="H16" t="inlineStr">
        <is>
          <t>P2Y</t>
        </is>
      </c>
      <c r="I16" t="inlineStr">
        <is>
          <t>HOLES</t>
        </is>
      </c>
      <c r="J16" t="inlineStr">
        <is>
          <t>N/A</t>
        </is>
      </c>
      <c r="K16" t="n">
        <v>10200</v>
      </c>
      <c r="L16" t="n">
        <v>11600</v>
      </c>
      <c r="M16" t="n">
        <v>12200</v>
      </c>
      <c r="N16" t="n">
        <v>12800</v>
      </c>
      <c r="O16" t="n">
        <v>13200</v>
      </c>
      <c r="P16" t="n">
        <v>13800</v>
      </c>
      <c r="Q16" t="n">
        <v>14400</v>
      </c>
      <c r="R16" t="n">
        <v>2.992019808374666</v>
      </c>
      <c r="S16" t="n">
        <v>2.976841184492163</v>
      </c>
      <c r="T16" t="n">
        <v>2.971402473827004</v>
      </c>
      <c r="U16" t="n">
        <v>2.966473642286703</v>
      </c>
      <c r="V16" t="n">
        <v>2.963436685479043</v>
      </c>
      <c r="W16" t="n">
        <v>2.959211354268386</v>
      </c>
      <c r="X16" t="n">
        <v>2.95533813399195</v>
      </c>
    </row>
    <row r="17">
      <c r="A17" t="inlineStr">
        <is>
          <t>100X12X12|PLF 3070|NW|P2Y|HOLES|N/A</t>
        </is>
      </c>
      <c r="B17" t="inlineStr">
        <is>
          <t>GB-1001212-M107-04</t>
        </is>
      </c>
      <c r="C17" t="inlineStr">
        <is>
          <t>GB 100x12x12 PLF 3070 NW P2Y+ HOLES</t>
        </is>
      </c>
      <c r="D17" t="n">
        <v>1.7</v>
      </c>
      <c r="E17" t="inlineStr">
        <is>
          <t>100X12X12</t>
        </is>
      </c>
      <c r="F17" t="inlineStr">
        <is>
          <t>PLF 3070</t>
        </is>
      </c>
      <c r="G17" t="inlineStr">
        <is>
          <t>NW</t>
        </is>
      </c>
      <c r="H17" t="inlineStr">
        <is>
          <t>P2Y</t>
        </is>
      </c>
      <c r="I17" t="inlineStr">
        <is>
          <t>HOLES</t>
        </is>
      </c>
      <c r="J17" t="inlineStr">
        <is>
          <t>N/A</t>
        </is>
      </c>
      <c r="K17" t="n">
        <v>10600</v>
      </c>
      <c r="L17" t="n">
        <v>12200</v>
      </c>
      <c r="M17" t="n">
        <v>12800</v>
      </c>
      <c r="N17" t="n">
        <v>13400</v>
      </c>
      <c r="O17" t="n">
        <v>14000</v>
      </c>
      <c r="P17" t="n">
        <v>14400</v>
      </c>
      <c r="Q17" t="n">
        <v>15000</v>
      </c>
      <c r="R17" t="n">
        <v>2.383018332761077</v>
      </c>
      <c r="S17" t="n">
        <v>2.367146875222499</v>
      </c>
      <c r="T17" t="n">
        <v>2.362218043682199</v>
      </c>
      <c r="U17" t="n">
        <v>2.35773060004103</v>
      </c>
      <c r="V17" t="n">
        <v>2.353627794426246</v>
      </c>
      <c r="W17" t="n">
        <v>2.351082535387446</v>
      </c>
      <c r="X17" t="n">
        <v>2.347519172733125</v>
      </c>
    </row>
    <row r="18">
      <c r="A18" t="inlineStr">
        <is>
          <t>100X18X14|PLF 3070|NW|P2Y|HOLES|BSU</t>
        </is>
      </c>
      <c r="B18" t="inlineStr">
        <is>
          <t>GB-1001814-M107-25</t>
        </is>
      </c>
      <c r="C18" t="inlineStr">
        <is>
          <t>GB 100x18x14 PLF 3070 BSU NW P2Y+HOLES</t>
        </is>
      </c>
      <c r="D18" t="n">
        <v>3.05</v>
      </c>
      <c r="E18" t="inlineStr">
        <is>
          <t>100X18X14</t>
        </is>
      </c>
      <c r="F18" t="inlineStr">
        <is>
          <t>PLF 3070</t>
        </is>
      </c>
      <c r="G18" t="inlineStr">
        <is>
          <t>NW</t>
        </is>
      </c>
      <c r="H18" t="inlineStr">
        <is>
          <t>P2Y</t>
        </is>
      </c>
      <c r="I18" t="inlineStr">
        <is>
          <t>HOLES</t>
        </is>
      </c>
      <c r="J18" t="inlineStr">
        <is>
          <t>BSU</t>
        </is>
      </c>
      <c r="K18" t="n">
        <v>6000</v>
      </c>
      <c r="L18" t="n">
        <v>6800</v>
      </c>
      <c r="M18" t="n">
        <v>7000</v>
      </c>
      <c r="N18" t="n">
        <v>7400</v>
      </c>
      <c r="O18" t="n">
        <v>7800</v>
      </c>
      <c r="P18" t="n">
        <v>8000</v>
      </c>
      <c r="Q18" t="n">
        <v>8400</v>
      </c>
      <c r="R18" t="n">
        <v>3.871615478048776</v>
      </c>
      <c r="S18" t="n">
        <v>3.846462329900629</v>
      </c>
      <c r="T18" t="n">
        <v>3.841072369583169</v>
      </c>
      <c r="U18" t="n">
        <v>3.831166496567295</v>
      </c>
      <c r="V18" t="n">
        <v>3.822276610527409</v>
      </c>
      <c r="W18" t="n">
        <v>3.818165038233962</v>
      </c>
      <c r="X18" t="n">
        <v>3.81052926111756</v>
      </c>
    </row>
    <row r="19">
      <c r="A19" t="inlineStr">
        <is>
          <t>100X15X10|PRO 7030|WA|P1Y|HOLES|N/A</t>
        </is>
      </c>
      <c r="B19" t="inlineStr">
        <is>
          <t>GB-1001510-M128-01</t>
        </is>
      </c>
      <c r="C19" t="inlineStr">
        <is>
          <t>GB 100x15x10 PRO 7030 WA P1Y + HOLES</t>
        </is>
      </c>
      <c r="D19" t="n">
        <v>1.95</v>
      </c>
      <c r="E19" t="inlineStr">
        <is>
          <t>100X15X10</t>
        </is>
      </c>
      <c r="F19" t="inlineStr">
        <is>
          <t>PRO 7030</t>
        </is>
      </c>
      <c r="G19" t="inlineStr">
        <is>
          <t>WA</t>
        </is>
      </c>
      <c r="H19" t="inlineStr">
        <is>
          <t>P1Y</t>
        </is>
      </c>
      <c r="I19" t="inlineStr">
        <is>
          <t>HOLES</t>
        </is>
      </c>
      <c r="J19" t="inlineStr">
        <is>
          <t>N/A</t>
        </is>
      </c>
      <c r="K19" t="n">
        <v>9200</v>
      </c>
      <c r="L19" t="n">
        <v>10600</v>
      </c>
      <c r="M19" t="n">
        <v>11000</v>
      </c>
      <c r="N19" t="n">
        <v>11600</v>
      </c>
      <c r="O19" t="n">
        <v>12200</v>
      </c>
      <c r="P19" t="n">
        <v>12600</v>
      </c>
      <c r="Q19" t="n">
        <v>13200</v>
      </c>
      <c r="R19" t="n">
        <v>2.76900792147892</v>
      </c>
      <c r="S19" t="n">
        <v>2.750591855258885</v>
      </c>
      <c r="T19" t="n">
        <v>2.74619113294137</v>
      </c>
      <c r="U19" t="n">
        <v>2.740159108385467</v>
      </c>
      <c r="V19" t="n">
        <v>2.734720397720308</v>
      </c>
      <c r="W19" t="n">
        <v>2.731382353079258</v>
      </c>
      <c r="X19" t="n">
        <v>2.726754609372347</v>
      </c>
    </row>
    <row r="20">
      <c r="A20" t="inlineStr">
        <is>
          <t>100X20X12|PRO 8020|WA|P1Y|HOLES|N/A</t>
        </is>
      </c>
      <c r="B20" t="inlineStr">
        <is>
          <t>GB-1002012-M189-01</t>
        </is>
      </c>
      <c r="C20" t="inlineStr">
        <is>
          <t>GB 100x20x12 PRO 8020 WA P1Y+ HOLES</t>
        </is>
      </c>
      <c r="D20" t="n">
        <v>2.9</v>
      </c>
      <c r="E20" t="inlineStr">
        <is>
          <t>100X20X12</t>
        </is>
      </c>
      <c r="F20" t="inlineStr">
        <is>
          <t>PRO 8020</t>
        </is>
      </c>
      <c r="G20" t="inlineStr">
        <is>
          <t>WA</t>
        </is>
      </c>
      <c r="H20" t="inlineStr">
        <is>
          <t>P1Y</t>
        </is>
      </c>
      <c r="I20" t="inlineStr">
        <is>
          <t>HOLES</t>
        </is>
      </c>
      <c r="J20" t="inlineStr">
        <is>
          <t>N/A</t>
        </is>
      </c>
      <c r="K20" t="n">
        <v>6200</v>
      </c>
      <c r="L20" t="n">
        <v>7000</v>
      </c>
      <c r="M20" t="n">
        <v>7400</v>
      </c>
      <c r="N20" t="n">
        <v>7800</v>
      </c>
      <c r="O20" t="n">
        <v>8200</v>
      </c>
      <c r="P20" t="n">
        <v>8400</v>
      </c>
      <c r="Q20" t="n">
        <v>8800</v>
      </c>
      <c r="R20" t="n">
        <v>3.643521636903595</v>
      </c>
      <c r="S20" t="n">
        <v>3.619875359381834</v>
      </c>
      <c r="T20" t="n">
        <v>3.609969486365961</v>
      </c>
      <c r="U20" t="n">
        <v>3.601079600326075</v>
      </c>
      <c r="V20" t="n">
        <v>3.5930570202413</v>
      </c>
      <c r="W20" t="n">
        <v>3.589332250916225</v>
      </c>
      <c r="X20" t="n">
        <v>3.58239063535586</v>
      </c>
    </row>
    <row r="21">
      <c r="A21" t="inlineStr">
        <is>
          <t>100X15X12|PLF 3070|EW|P1Y|HOLES|BSU</t>
        </is>
      </c>
      <c r="B21" t="inlineStr">
        <is>
          <t>GB-1001512-M130-02</t>
        </is>
      </c>
      <c r="C21" t="inlineStr">
        <is>
          <t>GB 100x15x12 PLF 3070 EW Fines removed BSU P1Y+Bottom filter Bio D + HOLES</t>
        </is>
      </c>
      <c r="D21" t="n">
        <v>2.2</v>
      </c>
      <c r="E21" t="inlineStr">
        <is>
          <t>100X15X12</t>
        </is>
      </c>
      <c r="F21" t="inlineStr">
        <is>
          <t>PLF 3070</t>
        </is>
      </c>
      <c r="G21" t="inlineStr">
        <is>
          <t>EW</t>
        </is>
      </c>
      <c r="H21" t="inlineStr">
        <is>
          <t>P1Y</t>
        </is>
      </c>
      <c r="I21" t="inlineStr">
        <is>
          <t>HOLES</t>
        </is>
      </c>
      <c r="J21" t="inlineStr">
        <is>
          <t>BSU</t>
        </is>
      </c>
      <c r="K21" t="n">
        <v>8200</v>
      </c>
      <c r="L21" t="n">
        <v>9400</v>
      </c>
      <c r="M21" t="n">
        <v>9800</v>
      </c>
      <c r="N21" t="n">
        <v>10200</v>
      </c>
      <c r="O21" t="n">
        <v>10800</v>
      </c>
      <c r="P21" t="n">
        <v>11200</v>
      </c>
      <c r="Q21" t="n">
        <v>11600</v>
      </c>
      <c r="R21" t="n">
        <v>3.274544642829877</v>
      </c>
      <c r="S21" t="n">
        <v>3.254573539214586</v>
      </c>
      <c r="T21" t="n">
        <v>3.24900336745794</v>
      </c>
      <c r="U21" t="n">
        <v>3.243870071917502</v>
      </c>
      <c r="V21" t="n">
        <v>3.236883086320793</v>
      </c>
      <c r="W21" t="n">
        <v>3.232640987922792</v>
      </c>
      <c r="X21" t="n">
        <v>3.228691448034998</v>
      </c>
    </row>
    <row r="22">
      <c r="A22" t="inlineStr">
        <is>
          <t>100X15X14|PRO 7030|NW|P1Y|HOLES|N/A</t>
        </is>
      </c>
      <c r="B22" t="inlineStr">
        <is>
          <t>GB-1001514-M103-01</t>
        </is>
      </c>
      <c r="C22" t="inlineStr">
        <is>
          <t>GB 100x15x14 PRO 7030 NW P1Y + HOLES</t>
        </is>
      </c>
      <c r="D22" t="n">
        <v>2.6</v>
      </c>
      <c r="E22" t="inlineStr">
        <is>
          <t>100X15X14</t>
        </is>
      </c>
      <c r="F22" t="inlineStr">
        <is>
          <t>PRO 7030</t>
        </is>
      </c>
      <c r="G22" t="inlineStr">
        <is>
          <t>NW</t>
        </is>
      </c>
      <c r="H22" t="inlineStr">
        <is>
          <t>P1Y</t>
        </is>
      </c>
      <c r="I22" t="inlineStr">
        <is>
          <t>HOLES</t>
        </is>
      </c>
      <c r="J22" t="inlineStr">
        <is>
          <t>N/A</t>
        </is>
      </c>
      <c r="K22" t="n">
        <v>7000</v>
      </c>
      <c r="L22" t="n">
        <v>8000</v>
      </c>
      <c r="M22" t="n">
        <v>8200</v>
      </c>
      <c r="N22" t="n">
        <v>8600</v>
      </c>
      <c r="O22" t="n">
        <v>9000</v>
      </c>
      <c r="P22" t="n">
        <v>9400</v>
      </c>
      <c r="Q22" t="n">
        <v>9800</v>
      </c>
      <c r="R22" t="n">
        <v>2.943557184645308</v>
      </c>
      <c r="S22" t="n">
        <v>2.920649853296102</v>
      </c>
      <c r="T22" t="n">
        <v>2.916738845504774</v>
      </c>
      <c r="U22" t="n">
        <v>2.909462551939513</v>
      </c>
      <c r="V22" t="n">
        <v>2.902833040024497</v>
      </c>
      <c r="W22" t="n">
        <v>2.896767741889483</v>
      </c>
      <c r="X22" t="n">
        <v>2.891197570132837</v>
      </c>
    </row>
    <row r="23">
      <c r="A23" t="inlineStr">
        <is>
          <t>25X20X18|PRO 8020|NW|P1Y|HOLES|N/A</t>
        </is>
      </c>
      <c r="B23" t="inlineStr">
        <is>
          <t>GB-252018-M102-01</t>
        </is>
      </c>
      <c r="C23" t="inlineStr">
        <is>
          <t>GB 25x20x18 PRO 8020 NW P1Y+HOLES</t>
        </is>
      </c>
      <c r="D23" t="n">
        <v>1.15</v>
      </c>
      <c r="E23" t="inlineStr">
        <is>
          <t>25X20X18</t>
        </is>
      </c>
      <c r="F23" t="inlineStr">
        <is>
          <t>PRO 8020</t>
        </is>
      </c>
      <c r="G23" t="inlineStr">
        <is>
          <t>NW</t>
        </is>
      </c>
      <c r="H23" t="inlineStr">
        <is>
          <t>P1Y</t>
        </is>
      </c>
      <c r="I23" t="inlineStr">
        <is>
          <t>HOLES</t>
        </is>
      </c>
      <c r="J23" t="inlineStr">
        <is>
          <t>N/A</t>
        </is>
      </c>
      <c r="K23" t="n">
        <v>15600</v>
      </c>
      <c r="L23" t="n">
        <v>18000</v>
      </c>
      <c r="M23" t="n">
        <v>18800</v>
      </c>
      <c r="N23" t="n">
        <v>19600</v>
      </c>
      <c r="O23" t="n">
        <v>20400</v>
      </c>
      <c r="P23" t="n">
        <v>21200</v>
      </c>
      <c r="Q23" t="n">
        <v>22400</v>
      </c>
      <c r="R23" t="n">
        <v>1.345641365427575</v>
      </c>
      <c r="S23" t="n">
        <v>1.334677172645049</v>
      </c>
      <c r="T23" t="n">
        <v>1.331644523577542</v>
      </c>
      <c r="U23" t="n">
        <v>1.328859437699219</v>
      </c>
      <c r="V23" t="n">
        <v>1.326292789929</v>
      </c>
      <c r="W23" t="n">
        <v>1.323919851424457</v>
      </c>
      <c r="X23" t="n">
        <v>1.320678247931645</v>
      </c>
    </row>
    <row r="24">
      <c r="A24" t="inlineStr">
        <is>
          <t>100X15X12|PRO 8020|NW|P1Y|HOLES|N/A</t>
        </is>
      </c>
      <c r="B24" t="inlineStr">
        <is>
          <t>GB-1001512-M102-01</t>
        </is>
      </c>
      <c r="C24" t="inlineStr">
        <is>
          <t>GB 100x15x12 PRO 8020 NW P1Y + HOLES</t>
        </is>
      </c>
      <c r="D24" t="n">
        <v>2.2</v>
      </c>
      <c r="E24" t="inlineStr">
        <is>
          <t>100X15X12</t>
        </is>
      </c>
      <c r="F24" t="inlineStr">
        <is>
          <t>PRO 8020</t>
        </is>
      </c>
      <c r="G24" t="inlineStr">
        <is>
          <t>NW</t>
        </is>
      </c>
      <c r="H24" t="inlineStr">
        <is>
          <t>P1Y</t>
        </is>
      </c>
      <c r="I24" t="inlineStr">
        <is>
          <t>HOLES</t>
        </is>
      </c>
      <c r="J24" t="inlineStr">
        <is>
          <t>N/A</t>
        </is>
      </c>
      <c r="K24" t="n">
        <v>8200</v>
      </c>
      <c r="L24" t="n">
        <v>9400</v>
      </c>
      <c r="M24" t="n">
        <v>9800</v>
      </c>
      <c r="N24" t="n">
        <v>10200</v>
      </c>
      <c r="O24" t="n">
        <v>10800</v>
      </c>
      <c r="P24" t="n">
        <v>11200</v>
      </c>
      <c r="Q24" t="n">
        <v>11600</v>
      </c>
      <c r="R24" t="n">
        <v>2.540784692829877</v>
      </c>
      <c r="S24" t="n">
        <v>2.520813589214585</v>
      </c>
      <c r="T24" t="n">
        <v>2.515243417457939</v>
      </c>
      <c r="U24" t="n">
        <v>2.510110121917501</v>
      </c>
      <c r="V24" t="n">
        <v>2.503123136320793</v>
      </c>
      <c r="W24" t="n">
        <v>2.498881037922792</v>
      </c>
      <c r="X24" t="n">
        <v>2.494931498034998</v>
      </c>
    </row>
    <row r="25">
      <c r="A25" t="inlineStr">
        <is>
          <t>25X20X18|PRO 7030|NW|P1Y|HOLES|N/A</t>
        </is>
      </c>
      <c r="B25" t="inlineStr">
        <is>
          <t>GB-252018-M103-01</t>
        </is>
      </c>
      <c r="C25" t="inlineStr">
        <is>
          <t>GB 25x20x18 PRO 7030 NW P1Y+HOLES</t>
        </is>
      </c>
      <c r="D25" t="n">
        <v>1.15</v>
      </c>
      <c r="E25" t="inlineStr">
        <is>
          <t>25X20X18</t>
        </is>
      </c>
      <c r="F25" t="inlineStr">
        <is>
          <t>PRO 7030</t>
        </is>
      </c>
      <c r="G25" t="inlineStr">
        <is>
          <t>NW</t>
        </is>
      </c>
      <c r="H25" t="inlineStr">
        <is>
          <t>P1Y</t>
        </is>
      </c>
      <c r="I25" t="inlineStr">
        <is>
          <t>HOLES</t>
        </is>
      </c>
      <c r="J25" t="inlineStr">
        <is>
          <t>N/A</t>
        </is>
      </c>
      <c r="K25" t="n">
        <v>15600</v>
      </c>
      <c r="L25" t="n">
        <v>18000</v>
      </c>
      <c r="M25" t="n">
        <v>18800</v>
      </c>
      <c r="N25" t="n">
        <v>19600</v>
      </c>
      <c r="O25" t="n">
        <v>20400</v>
      </c>
      <c r="P25" t="n">
        <v>21200</v>
      </c>
      <c r="Q25" t="n">
        <v>22400</v>
      </c>
      <c r="R25" t="n">
        <v>1.388680690427576</v>
      </c>
      <c r="S25" t="n">
        <v>1.377716497645049</v>
      </c>
      <c r="T25" t="n">
        <v>1.374683848577542</v>
      </c>
      <c r="U25" t="n">
        <v>1.371898762699219</v>
      </c>
      <c r="V25" t="n">
        <v>1.369332114929</v>
      </c>
      <c r="W25" t="n">
        <v>1.366959176424458</v>
      </c>
      <c r="X25" t="n">
        <v>1.363717572931646</v>
      </c>
    </row>
    <row r="26">
      <c r="A26" t="inlineStr">
        <is>
          <t>100X15X12|PRO 7030|NW|P1Y|N/A|N/A</t>
        </is>
      </c>
      <c r="B26" t="inlineStr">
        <is>
          <t>GB-1001512-M103-12</t>
        </is>
      </c>
      <c r="C26" t="inlineStr">
        <is>
          <t>GB 100x15x12 PRO 7030 NW P1Y</t>
        </is>
      </c>
      <c r="D26" t="n">
        <v>2.2</v>
      </c>
      <c r="E26" t="inlineStr">
        <is>
          <t>100X15X12</t>
        </is>
      </c>
      <c r="F26" t="inlineStr">
        <is>
          <t>PRO 7030</t>
        </is>
      </c>
      <c r="G26" t="inlineStr">
        <is>
          <t>NW</t>
        </is>
      </c>
      <c r="H26" t="inlineStr">
        <is>
          <t>P1Y</t>
        </is>
      </c>
      <c r="I26" t="inlineStr">
        <is>
          <t>N/A</t>
        </is>
      </c>
      <c r="J26" t="inlineStr">
        <is>
          <t>N/A</t>
        </is>
      </c>
      <c r="K26" t="n">
        <v>8200</v>
      </c>
      <c r="L26" t="n">
        <v>9400</v>
      </c>
      <c r="M26" t="n">
        <v>9800</v>
      </c>
      <c r="N26" t="n">
        <v>10200</v>
      </c>
      <c r="O26" t="n">
        <v>10800</v>
      </c>
      <c r="P26" t="n">
        <v>11200</v>
      </c>
      <c r="Q26" t="n">
        <v>11600</v>
      </c>
      <c r="R26" t="n">
        <v>2.623120792829877</v>
      </c>
      <c r="S26" t="n">
        <v>2.603149689214585</v>
      </c>
      <c r="T26" t="n">
        <v>2.597579517457939</v>
      </c>
      <c r="U26" t="n">
        <v>2.592446221917501</v>
      </c>
      <c r="V26" t="n">
        <v>2.585459236320793</v>
      </c>
      <c r="W26" t="n">
        <v>2.581217137922792</v>
      </c>
      <c r="X26" t="n">
        <v>2.577267598034997</v>
      </c>
    </row>
    <row r="27">
      <c r="A27" t="inlineStr">
        <is>
          <t>100X18X16|PLF 3070|NW|P3Y|HOLES|N/A</t>
        </is>
      </c>
      <c r="B27" t="inlineStr">
        <is>
          <t>GB-1001816-M107-20</t>
        </is>
      </c>
      <c r="C27" t="inlineStr">
        <is>
          <t>GB 100x18x16 PLF 3070 NW P3Y+HOLES(SP)</t>
        </is>
      </c>
      <c r="D27" t="n">
        <v>3.15</v>
      </c>
      <c r="E27" t="inlineStr">
        <is>
          <t>100X18X16</t>
        </is>
      </c>
      <c r="F27" t="inlineStr">
        <is>
          <t>PLF 3070</t>
        </is>
      </c>
      <c r="G27" t="inlineStr">
        <is>
          <t>NW</t>
        </is>
      </c>
      <c r="H27" t="inlineStr">
        <is>
          <t>P3Y</t>
        </is>
      </c>
      <c r="I27" t="inlineStr">
        <is>
          <t>HOLES</t>
        </is>
      </c>
      <c r="J27" t="inlineStr">
        <is>
          <t>N/A</t>
        </is>
      </c>
      <c r="K27" t="n">
        <v>5800</v>
      </c>
      <c r="L27" t="n">
        <v>6600</v>
      </c>
      <c r="M27" t="n">
        <v>6800</v>
      </c>
      <c r="N27" t="n">
        <v>7200</v>
      </c>
      <c r="O27" t="n">
        <v>7400</v>
      </c>
      <c r="P27" t="n">
        <v>7800</v>
      </c>
      <c r="Q27" t="n">
        <v>8000</v>
      </c>
      <c r="R27" t="n">
        <v>4.047300780655966</v>
      </c>
      <c r="S27" t="n">
        <v>4.020491782629725</v>
      </c>
      <c r="T27" t="n">
        <v>4.0147751580506</v>
      </c>
      <c r="U27" t="n">
        <v>4.004294679655539</v>
      </c>
      <c r="V27" t="n">
        <v>3.999479324717267</v>
      </c>
      <c r="W27" t="n">
        <v>3.990589438677381</v>
      </c>
      <c r="X27" t="n">
        <v>3.986477866383934</v>
      </c>
    </row>
    <row r="28">
      <c r="A28" t="inlineStr">
        <is>
          <t>100X15X12|16MM|NW|P3Y|HOLES|N/A</t>
        </is>
      </c>
      <c r="B28" t="inlineStr">
        <is>
          <t>GB-1001512-M003-08</t>
        </is>
      </c>
      <c r="C28" t="inlineStr">
        <is>
          <t>GB 100x15x12 16mm NW P3Y + HOLES</t>
        </is>
      </c>
      <c r="D28" t="n">
        <v>2.2</v>
      </c>
      <c r="E28" t="inlineStr">
        <is>
          <t>100X15X12</t>
        </is>
      </c>
      <c r="F28" t="inlineStr">
        <is>
          <t>16MM</t>
        </is>
      </c>
      <c r="G28" t="inlineStr">
        <is>
          <t>NW</t>
        </is>
      </c>
      <c r="H28" t="inlineStr">
        <is>
          <t>P3Y</t>
        </is>
      </c>
      <c r="I28" t="inlineStr">
        <is>
          <t>HOLES</t>
        </is>
      </c>
      <c r="J28" t="inlineStr">
        <is>
          <t>N/A</t>
        </is>
      </c>
      <c r="K28" t="n">
        <v>8200</v>
      </c>
      <c r="L28" t="n">
        <v>9400</v>
      </c>
      <c r="M28" t="n">
        <v>9800</v>
      </c>
      <c r="N28" t="n">
        <v>10200</v>
      </c>
      <c r="O28" t="n">
        <v>10800</v>
      </c>
      <c r="P28" t="n">
        <v>11200</v>
      </c>
      <c r="Q28" t="n">
        <v>11600</v>
      </c>
      <c r="R28" t="n">
        <v>3.280195159496543</v>
      </c>
      <c r="S28" t="n">
        <v>3.260224055881252</v>
      </c>
      <c r="T28" t="n">
        <v>3.254653884124606</v>
      </c>
      <c r="U28" t="n">
        <v>3.249520588584168</v>
      </c>
      <c r="V28" t="n">
        <v>3.242533602987459</v>
      </c>
      <c r="W28" t="n">
        <v>3.238291504589458</v>
      </c>
      <c r="X28" t="n">
        <v>3.234341964701664</v>
      </c>
    </row>
    <row r="29">
      <c r="A29" t="inlineStr">
        <is>
          <t>100X18X16|16MM|NW|P3Y|N/A|N/A</t>
        </is>
      </c>
      <c r="B29" t="inlineStr">
        <is>
          <t>GB-1001816-M003-40</t>
        </is>
      </c>
      <c r="C29" t="inlineStr">
        <is>
          <t>GB 100x18x16 16mm NW P3Y (SP)</t>
        </is>
      </c>
      <c r="D29" t="n">
        <v>2.95</v>
      </c>
      <c r="E29" t="inlineStr">
        <is>
          <t>100X18X16</t>
        </is>
      </c>
      <c r="F29" t="inlineStr">
        <is>
          <t>16MM</t>
        </is>
      </c>
      <c r="G29" t="inlineStr">
        <is>
          <t>NW</t>
        </is>
      </c>
      <c r="H29" t="inlineStr">
        <is>
          <t>P3Y</t>
        </is>
      </c>
      <c r="I29" t="inlineStr">
        <is>
          <t>N/A</t>
        </is>
      </c>
      <c r="J29" t="inlineStr">
        <is>
          <t>N/A</t>
        </is>
      </c>
      <c r="K29" t="n">
        <v>6200</v>
      </c>
      <c r="L29" t="n">
        <v>7000</v>
      </c>
      <c r="M29" t="n">
        <v>7200</v>
      </c>
      <c r="N29" t="n">
        <v>7600</v>
      </c>
      <c r="O29" t="n">
        <v>8000</v>
      </c>
      <c r="P29" t="n">
        <v>8400</v>
      </c>
      <c r="Q29" t="n">
        <v>8600</v>
      </c>
      <c r="R29" t="n">
        <v>4.196069533588235</v>
      </c>
      <c r="S29" t="n">
        <v>4.172423256066474</v>
      </c>
      <c r="T29" t="n">
        <v>4.167332737988873</v>
      </c>
      <c r="U29" t="n">
        <v>4.157955467845923</v>
      </c>
      <c r="V29" t="n">
        <v>4.149515924717267</v>
      </c>
      <c r="W29" t="n">
        <v>4.141880147600865</v>
      </c>
      <c r="X29" t="n">
        <v>4.138328623360679</v>
      </c>
    </row>
    <row r="30">
      <c r="A30" t="inlineStr">
        <is>
          <t>100X18X16|16MM|NW|P3Y|HOLES|N/A</t>
        </is>
      </c>
      <c r="B30" t="inlineStr">
        <is>
          <t>GB-1001816-M003-41</t>
        </is>
      </c>
      <c r="C30" t="inlineStr">
        <is>
          <t>GB 100x18x16 16mm NW P3Y + HOLES (SP)</t>
        </is>
      </c>
      <c r="D30" t="n">
        <v>2.95</v>
      </c>
      <c r="E30" t="inlineStr">
        <is>
          <t>100X18X16</t>
        </is>
      </c>
      <c r="F30" t="inlineStr">
        <is>
          <t>16MM</t>
        </is>
      </c>
      <c r="G30" t="inlineStr">
        <is>
          <t>NW</t>
        </is>
      </c>
      <c r="H30" t="inlineStr">
        <is>
          <t>P3Y</t>
        </is>
      </c>
      <c r="I30" t="inlineStr">
        <is>
          <t>HOLES</t>
        </is>
      </c>
      <c r="J30" t="inlineStr">
        <is>
          <t>N/A</t>
        </is>
      </c>
      <c r="K30" t="n">
        <v>6200</v>
      </c>
      <c r="L30" t="n">
        <v>7000</v>
      </c>
      <c r="M30" t="n">
        <v>7200</v>
      </c>
      <c r="N30" t="n">
        <v>7600</v>
      </c>
      <c r="O30" t="n">
        <v>8000</v>
      </c>
      <c r="P30" t="n">
        <v>8400</v>
      </c>
      <c r="Q30" t="n">
        <v>8600</v>
      </c>
      <c r="R30" t="n">
        <v>4.196069533588235</v>
      </c>
      <c r="S30" t="n">
        <v>4.172423256066474</v>
      </c>
      <c r="T30" t="n">
        <v>4.167332737988873</v>
      </c>
      <c r="U30" t="n">
        <v>4.157955467845923</v>
      </c>
      <c r="V30" t="n">
        <v>4.149515924717267</v>
      </c>
      <c r="W30" t="n">
        <v>4.141880147600865</v>
      </c>
      <c r="X30" t="n">
        <v>4.138328623360679</v>
      </c>
    </row>
    <row r="31">
      <c r="A31" t="inlineStr">
        <is>
          <t>100X18X16|PLF 3070|NW|P3Y|N/A|N/A</t>
        </is>
      </c>
      <c r="B31" t="inlineStr">
        <is>
          <t>GB-1001816-M107-21</t>
        </is>
      </c>
      <c r="C31" t="inlineStr">
        <is>
          <t>GB 100x18x16 PLF 3070 NW P3Y (SP)</t>
        </is>
      </c>
      <c r="D31" t="n">
        <v>3.15</v>
      </c>
      <c r="E31" t="inlineStr">
        <is>
          <t>100X18X16</t>
        </is>
      </c>
      <c r="F31" t="inlineStr">
        <is>
          <t>PLF 3070</t>
        </is>
      </c>
      <c r="G31" t="inlineStr">
        <is>
          <t>NW</t>
        </is>
      </c>
      <c r="H31" t="inlineStr">
        <is>
          <t>P3Y</t>
        </is>
      </c>
      <c r="I31" t="inlineStr">
        <is>
          <t>N/A</t>
        </is>
      </c>
      <c r="J31" t="inlineStr">
        <is>
          <t>N/A</t>
        </is>
      </c>
      <c r="K31" t="n">
        <v>5800</v>
      </c>
      <c r="L31" t="n">
        <v>6600</v>
      </c>
      <c r="M31" t="n">
        <v>6800</v>
      </c>
      <c r="N31" t="n">
        <v>7200</v>
      </c>
      <c r="O31" t="n">
        <v>7400</v>
      </c>
      <c r="P31" t="n">
        <v>7800</v>
      </c>
      <c r="Q31" t="n">
        <v>8000</v>
      </c>
      <c r="R31" t="n">
        <v>4.047300780655966</v>
      </c>
      <c r="S31" t="n">
        <v>4.020491782629725</v>
      </c>
      <c r="T31" t="n">
        <v>4.0147751580506</v>
      </c>
      <c r="U31" t="n">
        <v>4.004294679655539</v>
      </c>
      <c r="V31" t="n">
        <v>3.999479324717267</v>
      </c>
      <c r="W31" t="n">
        <v>3.990589438677381</v>
      </c>
      <c r="X31" t="n">
        <v>3.986477866383934</v>
      </c>
    </row>
    <row r="32">
      <c r="A32" t="inlineStr">
        <is>
          <t>100X18X14|16MM|NW|P3Y|HOLES|N/A</t>
        </is>
      </c>
      <c r="B32" t="inlineStr">
        <is>
          <t>GB-1001814-M003-21</t>
        </is>
      </c>
      <c r="C32" t="inlineStr">
        <is>
          <t>GB 100x18x14 16mm NW P3Y+HOLES (SP)</t>
        </is>
      </c>
      <c r="D32" t="n">
        <v>2.8</v>
      </c>
      <c r="E32" t="inlineStr">
        <is>
          <t>100X18X14</t>
        </is>
      </c>
      <c r="F32" t="inlineStr">
        <is>
          <t>16MM</t>
        </is>
      </c>
      <c r="G32" t="inlineStr">
        <is>
          <t>NW</t>
        </is>
      </c>
      <c r="H32" t="inlineStr">
        <is>
          <t>P3Y</t>
        </is>
      </c>
      <c r="I32" t="inlineStr">
        <is>
          <t>HOLES</t>
        </is>
      </c>
      <c r="J32" t="inlineStr">
        <is>
          <t>N/A</t>
        </is>
      </c>
      <c r="K32" t="n">
        <v>6400</v>
      </c>
      <c r="L32" t="n">
        <v>7400</v>
      </c>
      <c r="M32" t="n">
        <v>7600</v>
      </c>
      <c r="N32" t="n">
        <v>8000</v>
      </c>
      <c r="O32" t="n">
        <v>8400</v>
      </c>
      <c r="P32" t="n">
        <v>8800</v>
      </c>
      <c r="Q32" t="n">
        <v>9200</v>
      </c>
      <c r="R32" t="n">
        <v>4.029563927120307</v>
      </c>
      <c r="S32" t="n">
        <v>4.00247755559253</v>
      </c>
      <c r="T32" t="n">
        <v>3.997915640387852</v>
      </c>
      <c r="U32" t="n">
        <v>3.989476097259196</v>
      </c>
      <c r="V32" t="n">
        <v>3.981840320142794</v>
      </c>
      <c r="W32" t="n">
        <v>3.974898704582429</v>
      </c>
      <c r="X32" t="n">
        <v>3.968560707766442</v>
      </c>
    </row>
    <row r="33">
      <c r="A33" t="inlineStr">
        <is>
          <t>100X18X14|PLF 3070|NW|P3Y|N/A|N/A</t>
        </is>
      </c>
      <c r="B33" t="inlineStr">
        <is>
          <t>GB-1001814-M107-30</t>
        </is>
      </c>
      <c r="C33" t="inlineStr">
        <is>
          <t>GB 100x18x14 PLF 3070 NW P3Y (SP)</t>
        </is>
      </c>
      <c r="D33" t="n">
        <v>3.05</v>
      </c>
      <c r="E33" t="inlineStr">
        <is>
          <t>100X18X14</t>
        </is>
      </c>
      <c r="F33" t="inlineStr">
        <is>
          <t>PLF 3070</t>
        </is>
      </c>
      <c r="G33" t="inlineStr">
        <is>
          <t>NW</t>
        </is>
      </c>
      <c r="H33" t="inlineStr">
        <is>
          <t>P3Y</t>
        </is>
      </c>
      <c r="I33" t="inlineStr">
        <is>
          <t>N/A</t>
        </is>
      </c>
      <c r="J33" t="inlineStr">
        <is>
          <t>N/A</t>
        </is>
      </c>
      <c r="K33" t="n">
        <v>6000</v>
      </c>
      <c r="L33" t="n">
        <v>6800</v>
      </c>
      <c r="M33" t="n">
        <v>7000</v>
      </c>
      <c r="N33" t="n">
        <v>7400</v>
      </c>
      <c r="O33" t="n">
        <v>7800</v>
      </c>
      <c r="P33" t="n">
        <v>8000</v>
      </c>
      <c r="Q33" t="n">
        <v>8400</v>
      </c>
      <c r="R33" t="n">
        <v>3.936797144715443</v>
      </c>
      <c r="S33" t="n">
        <v>3.911643996567295</v>
      </c>
      <c r="T33" t="n">
        <v>3.906254036249835</v>
      </c>
      <c r="U33" t="n">
        <v>3.896348163233962</v>
      </c>
      <c r="V33" t="n">
        <v>3.887458277194076</v>
      </c>
      <c r="W33" t="n">
        <v>3.883346704900628</v>
      </c>
      <c r="X33" t="n">
        <v>3.875710927784226</v>
      </c>
    </row>
    <row r="34">
      <c r="A34" t="inlineStr">
        <is>
          <t>100X18X14|PLF 3070|NW|P3Y|HOLES|N/A</t>
        </is>
      </c>
      <c r="B34" t="inlineStr">
        <is>
          <t>GB-1001814-M107-27</t>
        </is>
      </c>
      <c r="C34" t="inlineStr">
        <is>
          <t>GB 100x18x14 PLF 3070 NW P3Y+HOLES</t>
        </is>
      </c>
      <c r="D34" t="n">
        <v>3.05</v>
      </c>
      <c r="E34" t="inlineStr">
        <is>
          <t>100X18X14</t>
        </is>
      </c>
      <c r="F34" t="inlineStr">
        <is>
          <t>PLF 3070</t>
        </is>
      </c>
      <c r="G34" t="inlineStr">
        <is>
          <t>NW</t>
        </is>
      </c>
      <c r="H34" t="inlineStr">
        <is>
          <t>P3Y</t>
        </is>
      </c>
      <c r="I34" t="inlineStr">
        <is>
          <t>HOLES</t>
        </is>
      </c>
      <c r="J34" t="inlineStr">
        <is>
          <t>N/A</t>
        </is>
      </c>
      <c r="K34" t="n">
        <v>6000</v>
      </c>
      <c r="L34" t="n">
        <v>6800</v>
      </c>
      <c r="M34" t="n">
        <v>7000</v>
      </c>
      <c r="N34" t="n">
        <v>7400</v>
      </c>
      <c r="O34" t="n">
        <v>7800</v>
      </c>
      <c r="P34" t="n">
        <v>8000</v>
      </c>
      <c r="Q34" t="n">
        <v>8400</v>
      </c>
      <c r="R34" t="n">
        <v>3.936797144715443</v>
      </c>
      <c r="S34" t="n">
        <v>3.911643996567295</v>
      </c>
      <c r="T34" t="n">
        <v>3.906254036249835</v>
      </c>
      <c r="U34" t="n">
        <v>3.896348163233962</v>
      </c>
      <c r="V34" t="n">
        <v>3.887458277194076</v>
      </c>
      <c r="W34" t="n">
        <v>3.883346704900628</v>
      </c>
      <c r="X34" t="n">
        <v>3.875710927784226</v>
      </c>
    </row>
    <row r="35">
      <c r="A35" t="inlineStr">
        <is>
          <t>100X18X12|16MM|NW|P3Y|HOLES|N/A</t>
        </is>
      </c>
      <c r="B35" t="inlineStr">
        <is>
          <t>GB-1001812-M003-08</t>
        </is>
      </c>
      <c r="C35" t="inlineStr">
        <is>
          <t>GB 100x18x12 16mm NW P3Y + HOLES</t>
        </is>
      </c>
      <c r="D35" t="n">
        <v>2.45</v>
      </c>
      <c r="E35" t="inlineStr">
        <is>
          <t>100X18X12</t>
        </is>
      </c>
      <c r="F35" t="inlineStr">
        <is>
          <t>16MM</t>
        </is>
      </c>
      <c r="G35" t="inlineStr">
        <is>
          <t>NW</t>
        </is>
      </c>
      <c r="H35" t="inlineStr">
        <is>
          <t>P3Y</t>
        </is>
      </c>
      <c r="I35" t="inlineStr">
        <is>
          <t>HOLES</t>
        </is>
      </c>
      <c r="J35" t="inlineStr">
        <is>
          <t>N/A</t>
        </is>
      </c>
      <c r="K35" t="n">
        <v>7400</v>
      </c>
      <c r="L35" t="n">
        <v>8400</v>
      </c>
      <c r="M35" t="n">
        <v>8800</v>
      </c>
      <c r="N35" t="n">
        <v>9200</v>
      </c>
      <c r="O35" t="n">
        <v>9600</v>
      </c>
      <c r="P35" t="n">
        <v>10000</v>
      </c>
      <c r="Q35" t="n">
        <v>10400</v>
      </c>
      <c r="R35" t="n">
        <v>3.565646450209683</v>
      </c>
      <c r="S35" t="n">
        <v>3.545009214759947</v>
      </c>
      <c r="T35" t="n">
        <v>3.538067599199581</v>
      </c>
      <c r="U35" t="n">
        <v>3.531729602383595</v>
      </c>
      <c r="V35" t="n">
        <v>3.525919771968942</v>
      </c>
      <c r="W35" t="n">
        <v>3.52057472798746</v>
      </c>
      <c r="X35" t="n">
        <v>3.515640841235323</v>
      </c>
    </row>
    <row r="36">
      <c r="A36" t="inlineStr">
        <is>
          <t>100X15X12|16MM|WA|P3Y|HOLES|N/A</t>
        </is>
      </c>
      <c r="B36" t="inlineStr">
        <is>
          <t>GB-1001512-M042-01</t>
        </is>
      </c>
      <c r="C36" t="inlineStr">
        <is>
          <t>GB 100x15x12 16mm WA P3Y + HOLES</t>
        </is>
      </c>
      <c r="D36" t="n">
        <v>2.2</v>
      </c>
      <c r="E36" t="inlineStr">
        <is>
          <t>100X15X12</t>
        </is>
      </c>
      <c r="F36" t="inlineStr">
        <is>
          <t>16MM</t>
        </is>
      </c>
      <c r="G36" t="inlineStr">
        <is>
          <t>WA</t>
        </is>
      </c>
      <c r="H36" t="inlineStr">
        <is>
          <t>P3Y</t>
        </is>
      </c>
      <c r="I36" t="inlineStr">
        <is>
          <t>HOLES</t>
        </is>
      </c>
      <c r="J36" t="inlineStr">
        <is>
          <t>N/A</t>
        </is>
      </c>
      <c r="K36" t="n">
        <v>8200</v>
      </c>
      <c r="L36" t="n">
        <v>9400</v>
      </c>
      <c r="M36" t="n">
        <v>9800</v>
      </c>
      <c r="N36" t="n">
        <v>10200</v>
      </c>
      <c r="O36" t="n">
        <v>10800</v>
      </c>
      <c r="P36" t="n">
        <v>11200</v>
      </c>
      <c r="Q36" t="n">
        <v>11600</v>
      </c>
      <c r="R36" t="n">
        <v>3.473927159496544</v>
      </c>
      <c r="S36" t="n">
        <v>3.453956055881252</v>
      </c>
      <c r="T36" t="n">
        <v>3.448385884124606</v>
      </c>
      <c r="U36" t="n">
        <v>3.443252588584167</v>
      </c>
      <c r="V36" t="n">
        <v>3.43626560298746</v>
      </c>
      <c r="W36" t="n">
        <v>3.432023504589458</v>
      </c>
      <c r="X36" t="n">
        <v>3.428073964701664</v>
      </c>
    </row>
    <row r="37">
      <c r="A37" t="inlineStr">
        <is>
          <t>100X18X12|16MM|WA|P3Y|HOLES|N/A</t>
        </is>
      </c>
      <c r="B37" t="inlineStr">
        <is>
          <t>GB-1001812-M042-01</t>
        </is>
      </c>
      <c r="C37" t="inlineStr">
        <is>
          <t>GB 100x18x12 16mm WA P3Y + HOLES</t>
        </is>
      </c>
      <c r="D37" t="n">
        <v>2.45</v>
      </c>
      <c r="E37" t="inlineStr">
        <is>
          <t>100X18X12</t>
        </is>
      </c>
      <c r="F37" t="inlineStr">
        <is>
          <t>16MM</t>
        </is>
      </c>
      <c r="G37" t="inlineStr">
        <is>
          <t>WA</t>
        </is>
      </c>
      <c r="H37" t="inlineStr">
        <is>
          <t>P3Y</t>
        </is>
      </c>
      <c r="I37" t="inlineStr">
        <is>
          <t>HOLES</t>
        </is>
      </c>
      <c r="J37" t="inlineStr">
        <is>
          <t>N/A</t>
        </is>
      </c>
      <c r="K37" t="n">
        <v>7400</v>
      </c>
      <c r="L37" t="n">
        <v>8400</v>
      </c>
      <c r="M37" t="n">
        <v>8800</v>
      </c>
      <c r="N37" t="n">
        <v>9200</v>
      </c>
      <c r="O37" t="n">
        <v>9600</v>
      </c>
      <c r="P37" t="n">
        <v>10000</v>
      </c>
      <c r="Q37" t="n">
        <v>10400</v>
      </c>
      <c r="R37" t="n">
        <v>3.781393450209683</v>
      </c>
      <c r="S37" t="n">
        <v>3.760756214759946</v>
      </c>
      <c r="T37" t="n">
        <v>3.753814599199582</v>
      </c>
      <c r="U37" t="n">
        <v>3.747476602383595</v>
      </c>
      <c r="V37" t="n">
        <v>3.741666771968942</v>
      </c>
      <c r="W37" t="n">
        <v>3.73632172798746</v>
      </c>
      <c r="X37" t="n">
        <v>3.731387841235324</v>
      </c>
    </row>
    <row r="38">
      <c r="A38" t="inlineStr">
        <is>
          <t>100X18X14|PLF 3070|WA|P3Y|HOLES|N/A</t>
        </is>
      </c>
      <c r="B38" t="inlineStr">
        <is>
          <t>GB-1001814-M326-01</t>
        </is>
      </c>
      <c r="C38" t="inlineStr">
        <is>
          <t>GB 100x18x14 PLF 3070 WA P3Y+HOLES (SP)</t>
        </is>
      </c>
      <c r="D38" t="n">
        <v>3.05</v>
      </c>
      <c r="E38" t="inlineStr">
        <is>
          <t>100X18X14</t>
        </is>
      </c>
      <c r="F38" t="inlineStr">
        <is>
          <t>PLF 3070</t>
        </is>
      </c>
      <c r="G38" t="inlineStr">
        <is>
          <t>WA</t>
        </is>
      </c>
      <c r="H38" t="inlineStr">
        <is>
          <t>P3Y</t>
        </is>
      </c>
      <c r="I38" t="inlineStr">
        <is>
          <t>HOLES</t>
        </is>
      </c>
      <c r="J38" t="inlineStr">
        <is>
          <t>N/A</t>
        </is>
      </c>
      <c r="K38" t="n">
        <v>6000</v>
      </c>
      <c r="L38" t="n">
        <v>6800</v>
      </c>
      <c r="M38" t="n">
        <v>7000</v>
      </c>
      <c r="N38" t="n">
        <v>7400</v>
      </c>
      <c r="O38" t="n">
        <v>7800</v>
      </c>
      <c r="P38" t="n">
        <v>8000</v>
      </c>
      <c r="Q38" t="n">
        <v>8400</v>
      </c>
      <c r="R38" t="n">
        <v>4.326242494715443</v>
      </c>
      <c r="S38" t="n">
        <v>4.301089346567296</v>
      </c>
      <c r="T38" t="n">
        <v>4.295699386249836</v>
      </c>
      <c r="U38" t="n">
        <v>4.285793513233963</v>
      </c>
      <c r="V38" t="n">
        <v>4.276903627194076</v>
      </c>
      <c r="W38" t="n">
        <v>4.272792054900629</v>
      </c>
      <c r="X38" t="n">
        <v>4.265156277784227</v>
      </c>
    </row>
    <row r="39">
      <c r="A39" t="inlineStr">
        <is>
          <t>50X20X12|PRO 7030|NW|P1Y|HOLES|N/A</t>
        </is>
      </c>
      <c r="B39" t="inlineStr">
        <is>
          <t>GB-502012-M103-02</t>
        </is>
      </c>
      <c r="C39" t="inlineStr">
        <is>
          <t>GB 50x20x12 PRO 7030 NW P1Y + HOLES</t>
        </is>
      </c>
      <c r="D39" t="n">
        <v>1.3</v>
      </c>
      <c r="E39" t="inlineStr">
        <is>
          <t>50X20X12</t>
        </is>
      </c>
      <c r="F39" t="inlineStr">
        <is>
          <t>PRO 7030</t>
        </is>
      </c>
      <c r="G39" t="inlineStr">
        <is>
          <t>NW</t>
        </is>
      </c>
      <c r="H39" t="inlineStr">
        <is>
          <t>P1Y</t>
        </is>
      </c>
      <c r="I39" t="inlineStr">
        <is>
          <t>HOLES</t>
        </is>
      </c>
      <c r="J39" t="inlineStr">
        <is>
          <t>N/A</t>
        </is>
      </c>
      <c r="K39" t="n">
        <v>14000</v>
      </c>
      <c r="L39" t="n">
        <v>16000</v>
      </c>
      <c r="M39" t="n">
        <v>16600</v>
      </c>
      <c r="N39" t="n">
        <v>17400</v>
      </c>
      <c r="O39" t="n">
        <v>18200</v>
      </c>
      <c r="P39" t="n">
        <v>19000</v>
      </c>
      <c r="Q39" t="n">
        <v>19800</v>
      </c>
      <c r="R39" t="n">
        <v>1.621682585305544</v>
      </c>
      <c r="S39" t="n">
        <v>1.61022891963094</v>
      </c>
      <c r="T39" t="n">
        <v>1.607331004219294</v>
      </c>
      <c r="U39" t="n">
        <v>1.603778004480877</v>
      </c>
      <c r="V39" t="n">
        <v>1.600537356367815</v>
      </c>
      <c r="W39" t="n">
        <v>1.597569604937958</v>
      </c>
      <c r="X39" t="n">
        <v>1.594841671805463</v>
      </c>
    </row>
    <row r="40">
      <c r="A40" t="inlineStr">
        <is>
          <t>90X20X12|PLF 3070|NW||HOLES|N/A</t>
        </is>
      </c>
      <c r="B40" t="inlineStr">
        <is>
          <t>GB-902012-M107-01</t>
        </is>
      </c>
      <c r="C40" t="inlineStr">
        <is>
          <t>GB 90x20x12 PLF 3070 NW + HOLES</t>
        </is>
      </c>
      <c r="D40" t="n">
        <v>2.45</v>
      </c>
      <c r="E40" t="inlineStr">
        <is>
          <t>90X20X12</t>
        </is>
      </c>
      <c r="F40" t="inlineStr">
        <is>
          <t>PLF 3070</t>
        </is>
      </c>
      <c r="G40" t="inlineStr">
        <is>
          <t>NW</t>
        </is>
      </c>
      <c r="H40" t="inlineStr"/>
      <c r="I40" t="inlineStr">
        <is>
          <t>HOLES</t>
        </is>
      </c>
      <c r="J40" t="inlineStr">
        <is>
          <t>N/A</t>
        </is>
      </c>
      <c r="K40" t="n">
        <v>7400</v>
      </c>
      <c r="L40" t="n">
        <v>8400</v>
      </c>
      <c r="M40" t="n">
        <v>8800</v>
      </c>
      <c r="N40" t="n">
        <v>9200</v>
      </c>
      <c r="O40" t="n">
        <v>9600</v>
      </c>
      <c r="P40" t="n">
        <v>10000</v>
      </c>
      <c r="Q40" t="n">
        <v>10400</v>
      </c>
      <c r="R40" t="n">
        <v>3.224955691876349</v>
      </c>
      <c r="S40" t="n">
        <v>3.204318456426613</v>
      </c>
      <c r="T40" t="n">
        <v>3.197376840866248</v>
      </c>
      <c r="U40" t="n">
        <v>3.191038844050262</v>
      </c>
      <c r="V40" t="n">
        <v>3.185229013635608</v>
      </c>
      <c r="W40" t="n">
        <v>3.179883969654127</v>
      </c>
      <c r="X40" t="n">
        <v>3.17495008290199</v>
      </c>
    </row>
    <row r="41">
      <c r="A41" t="inlineStr">
        <is>
          <t>100X18X08|16MM|WA|P2Y|HOLES|N/A</t>
        </is>
      </c>
      <c r="B41" t="inlineStr">
        <is>
          <t>GB-1001808-M325-01</t>
        </is>
      </c>
      <c r="C41" t="inlineStr">
        <is>
          <t xml:space="preserve">GB 100x18x08 16mm WA + 20% extra fiber P2Y (black) + HOLES EC: 1-1.5 </t>
        </is>
      </c>
      <c r="D41" t="n">
        <v>1.75</v>
      </c>
      <c r="E41" t="inlineStr">
        <is>
          <t>100X18X08</t>
        </is>
      </c>
      <c r="F41" t="inlineStr">
        <is>
          <t>16MM</t>
        </is>
      </c>
      <c r="G41" t="inlineStr">
        <is>
          <t>WA</t>
        </is>
      </c>
      <c r="H41" t="inlineStr">
        <is>
          <t>P2Y</t>
        </is>
      </c>
      <c r="I41" t="inlineStr">
        <is>
          <t>HOLES</t>
        </is>
      </c>
      <c r="J41" t="inlineStr">
        <is>
          <t>N/A</t>
        </is>
      </c>
      <c r="K41" t="n">
        <v>10400</v>
      </c>
      <c r="L41" t="n">
        <v>11800</v>
      </c>
      <c r="M41" t="n">
        <v>12400</v>
      </c>
      <c r="N41" t="n">
        <v>13000</v>
      </c>
      <c r="O41" t="n">
        <v>13600</v>
      </c>
      <c r="P41" t="n">
        <v>14000</v>
      </c>
      <c r="Q41" t="n">
        <v>14600</v>
      </c>
      <c r="R41" t="n">
        <v>2.67070324085406</v>
      </c>
      <c r="S41" t="n">
        <v>2.656068830996027</v>
      </c>
      <c r="T41" t="n">
        <v>2.650808536208347</v>
      </c>
      <c r="U41" t="n">
        <v>2.646033807093376</v>
      </c>
      <c r="V41" t="n">
        <v>2.641680377606197</v>
      </c>
      <c r="W41" t="n">
        <v>2.638985397447466</v>
      </c>
      <c r="X41" t="n">
        <v>2.635219808732528</v>
      </c>
    </row>
    <row r="42">
      <c r="A42" t="inlineStr">
        <is>
          <t>100X16X08|16MM|TR|P3Y|HOLES|N/A</t>
        </is>
      </c>
      <c r="B42" t="inlineStr">
        <is>
          <t>GB-1001608-M330-01</t>
        </is>
      </c>
      <c r="C42" t="inlineStr">
        <is>
          <t>GB 100x16x08 16mm TR + 20% extra fiber P3Y (black) + HOLES</t>
        </is>
      </c>
      <c r="D42" t="n">
        <v>1.58</v>
      </c>
      <c r="E42" t="inlineStr">
        <is>
          <t>100X16X08</t>
        </is>
      </c>
      <c r="F42" t="inlineStr">
        <is>
          <t>16MM</t>
        </is>
      </c>
      <c r="G42" t="inlineStr">
        <is>
          <t>TR</t>
        </is>
      </c>
      <c r="H42" t="inlineStr">
        <is>
          <t>P3Y</t>
        </is>
      </c>
      <c r="I42" t="inlineStr">
        <is>
          <t>HOLES</t>
        </is>
      </c>
      <c r="J42" t="inlineStr">
        <is>
          <t>N/A</t>
        </is>
      </c>
      <c r="K42" t="n">
        <v>11400</v>
      </c>
      <c r="L42" t="n">
        <v>13000</v>
      </c>
      <c r="M42" t="n">
        <v>13600</v>
      </c>
      <c r="N42" t="n">
        <v>14400</v>
      </c>
      <c r="O42" t="n">
        <v>15000</v>
      </c>
      <c r="P42" t="n">
        <v>15600</v>
      </c>
      <c r="Q42" t="n">
        <v>16200</v>
      </c>
      <c r="R42" t="n">
        <v>2.853739708813971</v>
      </c>
      <c r="S42" t="n">
        <v>2.839890202141306</v>
      </c>
      <c r="T42" t="n">
        <v>2.835536772654126</v>
      </c>
      <c r="U42" t="n">
        <v>2.830296533456595</v>
      </c>
      <c r="V42" t="n">
        <v>2.826733170802274</v>
      </c>
      <c r="W42" t="n">
        <v>2.823443912967517</v>
      </c>
      <c r="X42" t="n">
        <v>2.82039830386126</v>
      </c>
    </row>
    <row r="43">
      <c r="A43" t="inlineStr">
        <is>
          <t>100X16X08|16MM|TR|P3Y|HOLES|N/A</t>
        </is>
      </c>
      <c r="B43" t="inlineStr">
        <is>
          <t>GB-1001608-M330-02</t>
        </is>
      </c>
      <c r="C43" t="inlineStr">
        <is>
          <t>GB 100x16x08 16mm TR + 20% extra fiber P3Y (white) + HOLES</t>
        </is>
      </c>
      <c r="D43" t="n">
        <v>1.58</v>
      </c>
      <c r="E43" t="inlineStr">
        <is>
          <t>100X16X08</t>
        </is>
      </c>
      <c r="F43" t="inlineStr">
        <is>
          <t>16MM</t>
        </is>
      </c>
      <c r="G43" t="inlineStr">
        <is>
          <t>TR</t>
        </is>
      </c>
      <c r="H43" t="inlineStr">
        <is>
          <t>P3Y</t>
        </is>
      </c>
      <c r="I43" t="inlineStr">
        <is>
          <t>HOLES</t>
        </is>
      </c>
      <c r="J43" t="inlineStr">
        <is>
          <t>N/A</t>
        </is>
      </c>
      <c r="K43" t="n">
        <v>11400</v>
      </c>
      <c r="L43" t="n">
        <v>13000</v>
      </c>
      <c r="M43" t="n">
        <v>13600</v>
      </c>
      <c r="N43" t="n">
        <v>14400</v>
      </c>
      <c r="O43" t="n">
        <v>15000</v>
      </c>
      <c r="P43" t="n">
        <v>15600</v>
      </c>
      <c r="Q43" t="n">
        <v>16200</v>
      </c>
      <c r="R43" t="n">
        <v>2.853739708813971</v>
      </c>
      <c r="S43" t="n">
        <v>2.839890202141306</v>
      </c>
      <c r="T43" t="n">
        <v>2.835536772654126</v>
      </c>
      <c r="U43" t="n">
        <v>2.830296533456595</v>
      </c>
      <c r="V43" t="n">
        <v>2.826733170802274</v>
      </c>
      <c r="W43" t="n">
        <v>2.823443912967517</v>
      </c>
      <c r="X43" t="n">
        <v>2.82039830386126</v>
      </c>
    </row>
    <row r="44">
      <c r="A44" t="inlineStr">
        <is>
          <t>100X18X15|PLF 3070|NW|P2Y|HOLES|BSU</t>
        </is>
      </c>
      <c r="B44" t="inlineStr">
        <is>
          <t>GB-1001815-M107-03</t>
        </is>
      </c>
      <c r="C44" t="inlineStr">
        <is>
          <t>GB 100x18x15 PLF 3070 NW BSU P2Y + HOLES</t>
        </is>
      </c>
      <c r="D44" t="n">
        <v>3.140625</v>
      </c>
      <c r="E44" t="inlineStr">
        <is>
          <t>100X18X15</t>
        </is>
      </c>
      <c r="F44" t="inlineStr">
        <is>
          <t>PLF 3070</t>
        </is>
      </c>
      <c r="G44" t="inlineStr">
        <is>
          <t>NW</t>
        </is>
      </c>
      <c r="H44" t="inlineStr">
        <is>
          <t>P2Y</t>
        </is>
      </c>
      <c r="I44" t="inlineStr">
        <is>
          <t>HOLES</t>
        </is>
      </c>
      <c r="J44" t="inlineStr">
        <is>
          <t>BSU</t>
        </is>
      </c>
      <c r="K44" t="n">
        <v>5800</v>
      </c>
      <c r="L44" t="n">
        <v>6600</v>
      </c>
      <c r="M44" t="n">
        <v>6800</v>
      </c>
      <c r="N44" t="n">
        <v>7200</v>
      </c>
      <c r="O44" t="n">
        <v>7400</v>
      </c>
      <c r="P44" t="n">
        <v>7800</v>
      </c>
      <c r="Q44" t="n">
        <v>8200</v>
      </c>
      <c r="R44" t="n">
        <v>3.971913299926798</v>
      </c>
      <c r="S44" t="n">
        <v>3.945104301900559</v>
      </c>
      <c r="T44" t="n">
        <v>3.939387677321434</v>
      </c>
      <c r="U44" t="n">
        <v>3.928907198926373</v>
      </c>
      <c r="V44" t="n">
        <v>3.924091843988101</v>
      </c>
      <c r="W44" t="n">
        <v>3.915201957948214</v>
      </c>
      <c r="X44" t="n">
        <v>3.90717937786344</v>
      </c>
    </row>
    <row r="45">
      <c r="A45" t="inlineStr">
        <is>
          <t>100X18X10|16MM|EW|P2Y|HOLES|N/A</t>
        </is>
      </c>
      <c r="B45" t="inlineStr">
        <is>
          <t>GB-1001810-M333-01</t>
        </is>
      </c>
      <c r="C45" t="inlineStr">
        <is>
          <t>GB 100x18x10 16mm +20% extra fiber (EC&lt;0.5), double sieved EW P2Y + HOLES</t>
        </is>
      </c>
      <c r="D45" t="n">
        <v>2.25</v>
      </c>
      <c r="E45" t="inlineStr">
        <is>
          <t>100X18X10</t>
        </is>
      </c>
      <c r="F45" t="inlineStr">
        <is>
          <t>16MM</t>
        </is>
      </c>
      <c r="G45" t="inlineStr">
        <is>
          <t>EW</t>
        </is>
      </c>
      <c r="H45" t="inlineStr">
        <is>
          <t>P2Y</t>
        </is>
      </c>
      <c r="I45" t="inlineStr">
        <is>
          <t>HOLES</t>
        </is>
      </c>
      <c r="J45" t="inlineStr">
        <is>
          <t>N/A</t>
        </is>
      </c>
      <c r="K45" t="n">
        <v>8000</v>
      </c>
      <c r="L45" t="n">
        <v>9200</v>
      </c>
      <c r="M45" t="n">
        <v>9600</v>
      </c>
      <c r="N45" t="n">
        <v>10000</v>
      </c>
      <c r="O45" t="n">
        <v>10400</v>
      </c>
      <c r="P45" t="n">
        <v>11000</v>
      </c>
      <c r="Q45" t="n">
        <v>11400</v>
      </c>
      <c r="R45" t="n">
        <v>3.222979117481762</v>
      </c>
      <c r="S45" t="n">
        <v>3.202063727989008</v>
      </c>
      <c r="T45" t="n">
        <v>3.196253897574355</v>
      </c>
      <c r="U45" t="n">
        <v>3.190908853592874</v>
      </c>
      <c r="V45" t="n">
        <v>3.185974966840736</v>
      </c>
      <c r="W45" t="n">
        <v>3.179246939451459</v>
      </c>
      <c r="X45" t="n">
        <v>3.175155039752717</v>
      </c>
    </row>
    <row r="46">
      <c r="A46" t="inlineStr">
        <is>
          <t>100X18X15|PLF 3070|NW|P1Y|HOLES|N/A</t>
        </is>
      </c>
      <c r="B46" t="inlineStr">
        <is>
          <t>GB-1001815-M107-02</t>
        </is>
      </c>
      <c r="C46" t="inlineStr">
        <is>
          <t>GB 100x18x15 PLF 3070 NW P1Y + HOLES</t>
        </is>
      </c>
      <c r="D46" t="n">
        <v>3.140625</v>
      </c>
      <c r="E46" t="inlineStr">
        <is>
          <t>100X18X15</t>
        </is>
      </c>
      <c r="F46" t="inlineStr">
        <is>
          <t>PLF 3070</t>
        </is>
      </c>
      <c r="G46" t="inlineStr">
        <is>
          <t>NW</t>
        </is>
      </c>
      <c r="H46" t="inlineStr">
        <is>
          <t>P1Y</t>
        </is>
      </c>
      <c r="I46" t="inlineStr">
        <is>
          <t>HOLES</t>
        </is>
      </c>
      <c r="J46" t="inlineStr">
        <is>
          <t>N/A</t>
        </is>
      </c>
      <c r="K46" t="n">
        <v>5800</v>
      </c>
      <c r="L46" t="n">
        <v>6600</v>
      </c>
      <c r="M46" t="n">
        <v>6800</v>
      </c>
      <c r="N46" t="n">
        <v>7200</v>
      </c>
      <c r="O46" t="n">
        <v>7400</v>
      </c>
      <c r="P46" t="n">
        <v>7800</v>
      </c>
      <c r="Q46" t="n">
        <v>8200</v>
      </c>
      <c r="R46" t="n">
        <v>3.938027466593464</v>
      </c>
      <c r="S46" t="n">
        <v>3.911218468567225</v>
      </c>
      <c r="T46" t="n">
        <v>3.905501843988101</v>
      </c>
      <c r="U46" t="n">
        <v>3.895021365593039</v>
      </c>
      <c r="V46" t="n">
        <v>3.890206010654768</v>
      </c>
      <c r="W46" t="n">
        <v>3.881316124614881</v>
      </c>
      <c r="X46" t="n">
        <v>3.873293544530106</v>
      </c>
    </row>
    <row r="47">
      <c r="A47" t="inlineStr">
        <is>
          <t>100X16X15|PLF 3070|NW|P1Y|HOLES|N/A</t>
        </is>
      </c>
      <c r="B47" t="inlineStr">
        <is>
          <t>GB-1001615-M107-03</t>
        </is>
      </c>
      <c r="C47" t="inlineStr">
        <is>
          <t>GB 100x16x15 PLF 3070 NW P1Y + HOLES</t>
        </is>
      </c>
      <c r="D47" t="n">
        <v>2.85</v>
      </c>
      <c r="E47" t="inlineStr">
        <is>
          <t>100X16X15</t>
        </is>
      </c>
      <c r="F47" t="inlineStr">
        <is>
          <t>PLF 3070</t>
        </is>
      </c>
      <c r="G47" t="inlineStr">
        <is>
          <t>NW</t>
        </is>
      </c>
      <c r="H47" t="inlineStr">
        <is>
          <t>P1Y</t>
        </is>
      </c>
      <c r="I47" t="inlineStr">
        <is>
          <t>HOLES</t>
        </is>
      </c>
      <c r="J47" t="inlineStr">
        <is>
          <t>N/A</t>
        </is>
      </c>
      <c r="K47" t="n">
        <v>6240</v>
      </c>
      <c r="L47" t="n">
        <v>7200</v>
      </c>
      <c r="M47" t="n">
        <v>7440</v>
      </c>
      <c r="N47" t="n">
        <v>7920</v>
      </c>
      <c r="O47" t="n">
        <v>8160</v>
      </c>
      <c r="P47" t="n">
        <v>8640</v>
      </c>
      <c r="Q47" t="n">
        <v>8880</v>
      </c>
      <c r="R47" t="n">
        <v>3.587423314800347</v>
      </c>
      <c r="S47" t="n">
        <v>3.560012832844032</v>
      </c>
      <c r="T47" t="n">
        <v>3.554265473724159</v>
      </c>
      <c r="U47" t="n">
        <v>3.543815729869845</v>
      </c>
      <c r="V47" t="n">
        <v>3.539051876053908</v>
      </c>
      <c r="W47" t="n">
        <v>3.530318144058024</v>
      </c>
      <c r="X47" t="n">
        <v>3.52630534827613</v>
      </c>
    </row>
    <row r="48">
      <c r="A48" t="inlineStr">
        <is>
          <t>100X15X12|PRO 6040|NW|P2Y|HOLES|N/A</t>
        </is>
      </c>
      <c r="B48" t="inlineStr">
        <is>
          <t>GB-1001512-M104-11</t>
        </is>
      </c>
      <c r="C48" t="inlineStr">
        <is>
          <t>GB 100x15x12 PRO 6040 NW P2Y+HOLES</t>
        </is>
      </c>
      <c r="D48" t="n">
        <v>2.2</v>
      </c>
      <c r="E48" t="inlineStr">
        <is>
          <t>100X15X12</t>
        </is>
      </c>
      <c r="F48" t="inlineStr">
        <is>
          <t>PRO 6040</t>
        </is>
      </c>
      <c r="G48" t="inlineStr">
        <is>
          <t>NW</t>
        </is>
      </c>
      <c r="H48" t="inlineStr">
        <is>
          <t>P2Y</t>
        </is>
      </c>
      <c r="I48" t="inlineStr">
        <is>
          <t>HOLES</t>
        </is>
      </c>
      <c r="J48" t="inlineStr">
        <is>
          <t>N/A</t>
        </is>
      </c>
      <c r="K48" t="n">
        <v>8200</v>
      </c>
      <c r="L48" t="n">
        <v>9400</v>
      </c>
      <c r="M48" t="n">
        <v>9800</v>
      </c>
      <c r="N48" t="n">
        <v>10200</v>
      </c>
      <c r="O48" t="n">
        <v>10800</v>
      </c>
      <c r="P48" t="n">
        <v>11200</v>
      </c>
      <c r="Q48" t="n">
        <v>11600</v>
      </c>
      <c r="R48" t="n">
        <v>2.705456892829877</v>
      </c>
      <c r="S48" t="n">
        <v>2.685485789214585</v>
      </c>
      <c r="T48" t="n">
        <v>2.67991561745794</v>
      </c>
      <c r="U48" t="n">
        <v>2.674782321917502</v>
      </c>
      <c r="V48" t="n">
        <v>2.667795336320793</v>
      </c>
      <c r="W48" t="n">
        <v>2.663553237922792</v>
      </c>
      <c r="X48" t="n">
        <v>2.659603698034998</v>
      </c>
    </row>
    <row r="49">
      <c r="A49" t="inlineStr">
        <is>
          <t>100X15X10|PRO 6040|NW|P1Y|HOLES|N/A</t>
        </is>
      </c>
      <c r="B49" t="inlineStr">
        <is>
          <t>GB-1001510-M104-04</t>
        </is>
      </c>
      <c r="C49" t="inlineStr">
        <is>
          <t>GB 100x15x10 PRO 6040 NW P1Y+HOLES</t>
        </is>
      </c>
      <c r="D49" t="n">
        <v>1.83</v>
      </c>
      <c r="E49" t="inlineStr">
        <is>
          <t>100X15X10</t>
        </is>
      </c>
      <c r="F49" t="inlineStr">
        <is>
          <t>PRO 6040</t>
        </is>
      </c>
      <c r="G49" t="inlineStr">
        <is>
          <t>NW</t>
        </is>
      </c>
      <c r="H49" t="inlineStr">
        <is>
          <t>P1Y</t>
        </is>
      </c>
      <c r="I49" t="inlineStr">
        <is>
          <t>HOLES</t>
        </is>
      </c>
      <c r="J49" t="inlineStr">
        <is>
          <t>N/A</t>
        </is>
      </c>
      <c r="K49" t="n">
        <v>10000</v>
      </c>
      <c r="L49" t="n">
        <v>11200</v>
      </c>
      <c r="M49" t="n">
        <v>11800</v>
      </c>
      <c r="N49" t="n">
        <v>12400</v>
      </c>
      <c r="O49" t="n">
        <v>13000</v>
      </c>
      <c r="P49" t="n">
        <v>13400</v>
      </c>
      <c r="Q49" t="n">
        <v>14000</v>
      </c>
      <c r="R49" t="n">
        <v>2.367790084212531</v>
      </c>
      <c r="S49" t="n">
        <v>2.354045685403007</v>
      </c>
      <c r="T49" t="n">
        <v>2.348221787602361</v>
      </c>
      <c r="U49" t="n">
        <v>2.342961492814682</v>
      </c>
      <c r="V49" t="n">
        <v>2.33818676369971</v>
      </c>
      <c r="W49" t="n">
        <v>2.335241159668584</v>
      </c>
      <c r="X49" t="n">
        <v>2.331138354053801</v>
      </c>
    </row>
    <row r="50">
      <c r="A50" t="inlineStr">
        <is>
          <t>100X18X08|PLF 2080|WA|P1Y|HOLES|BSU</t>
        </is>
      </c>
      <c r="B50" t="inlineStr">
        <is>
          <t>GB-1001808-M186-01</t>
        </is>
      </c>
      <c r="C50" t="inlineStr">
        <is>
          <t>GB 100x18x08 PLF 2080 WA BSU P1Y + HOLES</t>
        </is>
      </c>
      <c r="D50" t="n">
        <v>1.75</v>
      </c>
      <c r="E50" t="inlineStr">
        <is>
          <t>100X18X08</t>
        </is>
      </c>
      <c r="F50" t="inlineStr">
        <is>
          <t>PLF 2080</t>
        </is>
      </c>
      <c r="G50" t="inlineStr">
        <is>
          <t>WA</t>
        </is>
      </c>
      <c r="H50" t="inlineStr">
        <is>
          <t>P1Y</t>
        </is>
      </c>
      <c r="I50" t="inlineStr">
        <is>
          <t>HOLES</t>
        </is>
      </c>
      <c r="J50" t="inlineStr">
        <is>
          <t>BSU</t>
        </is>
      </c>
      <c r="K50" t="n">
        <v>10400</v>
      </c>
      <c r="L50" t="n">
        <v>11800</v>
      </c>
      <c r="M50" t="n">
        <v>12400</v>
      </c>
      <c r="N50" t="n">
        <v>13000</v>
      </c>
      <c r="O50" t="n">
        <v>13600</v>
      </c>
      <c r="P50" t="n">
        <v>14000</v>
      </c>
      <c r="Q50" t="n">
        <v>14600</v>
      </c>
      <c r="R50" t="n">
        <v>2.770491624187393</v>
      </c>
      <c r="S50" t="n">
        <v>2.75585721432936</v>
      </c>
      <c r="T50" t="n">
        <v>2.75059691954168</v>
      </c>
      <c r="U50" t="n">
        <v>2.745822190426709</v>
      </c>
      <c r="V50" t="n">
        <v>2.74146876093953</v>
      </c>
      <c r="W50" t="n">
        <v>2.7387737807808</v>
      </c>
      <c r="X50" t="n">
        <v>2.735008192065862</v>
      </c>
    </row>
    <row r="51">
      <c r="A51" t="inlineStr">
        <is>
          <t>80X20X10|PRO 7030|EW|P1Y|HOLES|N/A</t>
        </is>
      </c>
      <c r="B51" t="inlineStr">
        <is>
          <t>GB-802010-M131-01</t>
        </is>
      </c>
      <c r="C51" t="inlineStr">
        <is>
          <t>GB 80x20x10 PRO 7030 EW P1Y+HOLES</t>
        </is>
      </c>
      <c r="D51" t="n">
        <v>1.95</v>
      </c>
      <c r="E51" t="inlineStr">
        <is>
          <t>80X20X10</t>
        </is>
      </c>
      <c r="F51" t="inlineStr">
        <is>
          <t>PRO 7030</t>
        </is>
      </c>
      <c r="G51" t="inlineStr">
        <is>
          <t>EW</t>
        </is>
      </c>
      <c r="H51" t="inlineStr">
        <is>
          <t>P1Y</t>
        </is>
      </c>
      <c r="I51" t="inlineStr">
        <is>
          <t>HOLES</t>
        </is>
      </c>
      <c r="J51" t="inlineStr">
        <is>
          <t>N/A</t>
        </is>
      </c>
      <c r="K51" t="n">
        <v>9200</v>
      </c>
      <c r="L51" t="n">
        <v>10600</v>
      </c>
      <c r="M51" t="n">
        <v>11000</v>
      </c>
      <c r="N51" t="n">
        <v>11600</v>
      </c>
      <c r="O51" t="n">
        <v>12200</v>
      </c>
      <c r="P51" t="n">
        <v>12600</v>
      </c>
      <c r="Q51" t="n">
        <v>13200</v>
      </c>
      <c r="R51" t="n">
        <v>2.795832767312253</v>
      </c>
      <c r="S51" t="n">
        <v>2.777416701092219</v>
      </c>
      <c r="T51" t="n">
        <v>2.773015978774704</v>
      </c>
      <c r="U51" t="n">
        <v>2.7669839542188</v>
      </c>
      <c r="V51" t="n">
        <v>2.761545243553641</v>
      </c>
      <c r="W51" t="n">
        <v>2.75820719891259</v>
      </c>
      <c r="X51" t="n">
        <v>2.75357945520568</v>
      </c>
    </row>
    <row r="52">
      <c r="A52" t="inlineStr">
        <is>
          <t>100X20X09|PRO 8020|EW|P1Y|HOLES|N/A</t>
        </is>
      </c>
      <c r="B52" t="inlineStr">
        <is>
          <t>GB-1002009-M149-01</t>
        </is>
      </c>
      <c r="C52" t="inlineStr">
        <is>
          <t>GB 100x20x09 PRO 8020 EW P1Y + HOLES</t>
        </is>
      </c>
      <c r="D52" t="n">
        <v>2.2</v>
      </c>
      <c r="E52" t="inlineStr">
        <is>
          <t>100X20X09</t>
        </is>
      </c>
      <c r="F52" t="inlineStr">
        <is>
          <t>PRO 8020</t>
        </is>
      </c>
      <c r="G52" t="inlineStr">
        <is>
          <t>EW</t>
        </is>
      </c>
      <c r="H52" t="inlineStr">
        <is>
          <t>P1Y</t>
        </is>
      </c>
      <c r="I52" t="inlineStr">
        <is>
          <t>HOLES</t>
        </is>
      </c>
      <c r="J52" t="inlineStr">
        <is>
          <t>N/A</t>
        </is>
      </c>
      <c r="K52" t="n">
        <v>8200</v>
      </c>
      <c r="L52" t="n">
        <v>9400</v>
      </c>
      <c r="M52" t="n">
        <v>9800</v>
      </c>
      <c r="N52" t="n">
        <v>10200</v>
      </c>
      <c r="O52" t="n">
        <v>10800</v>
      </c>
      <c r="P52" t="n">
        <v>11200</v>
      </c>
      <c r="Q52" t="n">
        <v>11600</v>
      </c>
      <c r="R52" t="n">
        <v>3.005335726163211</v>
      </c>
      <c r="S52" t="n">
        <v>2.985364622547919</v>
      </c>
      <c r="T52" t="n">
        <v>2.979794450791273</v>
      </c>
      <c r="U52" t="n">
        <v>2.974661155250835</v>
      </c>
      <c r="V52" t="n">
        <v>2.967674169654126</v>
      </c>
      <c r="W52" t="n">
        <v>2.963432071256125</v>
      </c>
      <c r="X52" t="n">
        <v>2.959482531368331</v>
      </c>
    </row>
    <row r="53">
      <c r="A53" t="inlineStr">
        <is>
          <t>100X20X10|PRO 7030|EW|P1Y|HOLES|N/A</t>
        </is>
      </c>
      <c r="B53" t="inlineStr">
        <is>
          <t>GB-1002010-M131-01</t>
        </is>
      </c>
      <c r="C53" t="inlineStr">
        <is>
          <t>GB 100x20x10 PRO 7030 EW P1Y + HOLES</t>
        </is>
      </c>
      <c r="D53" t="n">
        <v>2.4</v>
      </c>
      <c r="E53" t="inlineStr">
        <is>
          <t>100X20X10</t>
        </is>
      </c>
      <c r="F53" t="inlineStr">
        <is>
          <t>PRO 7030</t>
        </is>
      </c>
      <c r="G53" t="inlineStr">
        <is>
          <t>EW</t>
        </is>
      </c>
      <c r="H53" t="inlineStr">
        <is>
          <t>P1Y</t>
        </is>
      </c>
      <c r="I53" t="inlineStr">
        <is>
          <t>HOLES</t>
        </is>
      </c>
      <c r="J53" t="inlineStr">
        <is>
          <t>N/A</t>
        </is>
      </c>
      <c r="K53" t="n">
        <v>7600</v>
      </c>
      <c r="L53" t="n">
        <v>8600</v>
      </c>
      <c r="M53" t="n">
        <v>9000</v>
      </c>
      <c r="N53" t="n">
        <v>9400</v>
      </c>
      <c r="O53" t="n">
        <v>9800</v>
      </c>
      <c r="P53" t="n">
        <v>10200</v>
      </c>
      <c r="Q53" t="n">
        <v>10600</v>
      </c>
      <c r="R53" t="n">
        <v>3.259050372665623</v>
      </c>
      <c r="S53" t="n">
        <v>3.239423528180379</v>
      </c>
      <c r="T53" t="n">
        <v>3.232794016265363</v>
      </c>
      <c r="U53" t="n">
        <v>3.226728718130349</v>
      </c>
      <c r="V53" t="n">
        <v>3.221158546373703</v>
      </c>
      <c r="W53" t="n">
        <v>3.216025250833265</v>
      </c>
      <c r="X53" t="n">
        <v>3.21127937382418</v>
      </c>
    </row>
    <row r="54">
      <c r="A54" t="inlineStr">
        <is>
          <t>90X15X7|PRO 7030|EW|P1Y|HOLES|N/A</t>
        </is>
      </c>
      <c r="B54" t="inlineStr">
        <is>
          <t>GB-90157.5-M131-01</t>
        </is>
      </c>
      <c r="C54" t="inlineStr">
        <is>
          <t>GB 90x15x7.5 PRO 7030 EW P1Y + HOLES</t>
        </is>
      </c>
      <c r="D54" t="n">
        <v>1.22</v>
      </c>
      <c r="E54" t="inlineStr">
        <is>
          <t>90X15X7</t>
        </is>
      </c>
      <c r="F54" t="inlineStr">
        <is>
          <t>PRO 7030</t>
        </is>
      </c>
      <c r="G54" t="inlineStr">
        <is>
          <t>EW</t>
        </is>
      </c>
      <c r="H54" t="inlineStr">
        <is>
          <t>P1Y</t>
        </is>
      </c>
      <c r="I54" t="inlineStr">
        <is>
          <t>HOLES</t>
        </is>
      </c>
      <c r="J54" t="inlineStr">
        <is>
          <t>N/A</t>
        </is>
      </c>
      <c r="K54" t="n">
        <v>15000</v>
      </c>
      <c r="L54" t="n">
        <v>17000</v>
      </c>
      <c r="M54" t="n">
        <v>17800</v>
      </c>
      <c r="N54" t="n">
        <v>18600</v>
      </c>
      <c r="O54" t="n">
        <v>19400</v>
      </c>
      <c r="P54" t="n">
        <v>20200</v>
      </c>
      <c r="Q54" t="n">
        <v>21000</v>
      </c>
      <c r="R54" t="n">
        <v>2.045945441442977</v>
      </c>
      <c r="S54" t="n">
        <v>2.035884182183718</v>
      </c>
      <c r="T54" t="n">
        <v>2.032492746478349</v>
      </c>
      <c r="U54" t="n">
        <v>2.029393047177744</v>
      </c>
      <c r="V54" t="n">
        <v>2.026548993180281</v>
      </c>
      <c r="W54" t="n">
        <v>2.023930210786578</v>
      </c>
      <c r="X54" t="n">
        <v>2.02151095467049</v>
      </c>
    </row>
    <row r="55">
      <c r="A55" t="inlineStr">
        <is>
          <t>|PLF 3070|NW|P1Y|HOLES|N/A</t>
        </is>
      </c>
      <c r="B55" t="inlineStr">
        <is>
          <t>GB-1001814-M107-34</t>
        </is>
      </c>
      <c r="C55" t="inlineStr">
        <is>
          <t>GB  PLF 3070 NW P1Y+HOLES-25.2L-EN</t>
        </is>
      </c>
      <c r="D55" t="n">
        <v>2.5</v>
      </c>
      <c r="E55" t="inlineStr"/>
      <c r="F55" t="inlineStr">
        <is>
          <t>PLF 3070</t>
        </is>
      </c>
      <c r="G55" t="inlineStr">
        <is>
          <t>NW</t>
        </is>
      </c>
      <c r="H55" t="inlineStr">
        <is>
          <t>P1Y</t>
        </is>
      </c>
      <c r="I55" t="inlineStr">
        <is>
          <t>HOLES</t>
        </is>
      </c>
      <c r="J55" t="inlineStr">
        <is>
          <t>N/A</t>
        </is>
      </c>
      <c r="K55" t="n">
        <v>7200</v>
      </c>
      <c r="L55" t="n">
        <v>8200</v>
      </c>
      <c r="M55" t="n">
        <v>8600</v>
      </c>
      <c r="N55" t="n">
        <v>9000</v>
      </c>
      <c r="O55" t="n">
        <v>9400</v>
      </c>
      <c r="P55" t="n">
        <v>9800</v>
      </c>
      <c r="Q55" t="n">
        <v>10200</v>
      </c>
      <c r="R55" t="n">
        <v>3.294451423899033</v>
      </c>
      <c r="S55" t="n">
        <v>3.2727236028361</v>
      </c>
      <c r="T55" t="n">
        <v>3.265447309270839</v>
      </c>
      <c r="U55" t="n">
        <v>3.258817797355823</v>
      </c>
      <c r="V55" t="n">
        <v>3.252752499220809</v>
      </c>
      <c r="W55" t="n">
        <v>3.247182327464163</v>
      </c>
      <c r="X55" t="n">
        <v>3.242049031923724</v>
      </c>
    </row>
    <row r="56">
      <c r="A56" t="inlineStr">
        <is>
          <t>|PLF 3070|NW|P3Y|HOLES|N/A</t>
        </is>
      </c>
      <c r="B56" t="inlineStr">
        <is>
          <t>GB-1001816-M107-31</t>
        </is>
      </c>
      <c r="C56" t="inlineStr">
        <is>
          <t>GB PLF 3070 NW P3Y+HOLES-28.8L-EN</t>
        </is>
      </c>
      <c r="D56" t="n">
        <v>2.9</v>
      </c>
      <c r="E56" t="inlineStr"/>
      <c r="F56" t="inlineStr">
        <is>
          <t>PLF 3070</t>
        </is>
      </c>
      <c r="G56" t="inlineStr">
        <is>
          <t>NW</t>
        </is>
      </c>
      <c r="H56" t="inlineStr">
        <is>
          <t>P3Y</t>
        </is>
      </c>
      <c r="I56" t="inlineStr">
        <is>
          <t>HOLES</t>
        </is>
      </c>
      <c r="J56" t="inlineStr">
        <is>
          <t>N/A</t>
        </is>
      </c>
      <c r="K56" t="n">
        <v>6200</v>
      </c>
      <c r="L56" t="n">
        <v>7000</v>
      </c>
      <c r="M56" t="n">
        <v>7400</v>
      </c>
      <c r="N56" t="n">
        <v>7800</v>
      </c>
      <c r="O56" t="n">
        <v>8200</v>
      </c>
      <c r="P56" t="n">
        <v>8400</v>
      </c>
      <c r="Q56" t="n">
        <v>8800</v>
      </c>
      <c r="R56" t="n">
        <v>3.806331968818588</v>
      </c>
      <c r="S56" t="n">
        <v>3.782685691296827</v>
      </c>
      <c r="T56" t="n">
        <v>3.772779818280953</v>
      </c>
      <c r="U56" t="n">
        <v>3.763889932241068</v>
      </c>
      <c r="V56" t="n">
        <v>3.755867352156292</v>
      </c>
      <c r="W56" t="n">
        <v>3.752142582831218</v>
      </c>
      <c r="X56" t="n">
        <v>3.745200967270853</v>
      </c>
    </row>
    <row r="57">
      <c r="A57" t="inlineStr">
        <is>
          <t>100X15X12|PLF 3070|NW|P1Y|HOLES|N/A</t>
        </is>
      </c>
      <c r="B57" t="inlineStr">
        <is>
          <t>GB-1001512-M107-23</t>
        </is>
      </c>
      <c r="C57" t="inlineStr">
        <is>
          <t>GB 100x15x12 PLF 3070 NW P1Y+HOLES</t>
        </is>
      </c>
      <c r="D57" t="n">
        <v>2.09</v>
      </c>
      <c r="E57" t="inlineStr">
        <is>
          <t>100X15X12</t>
        </is>
      </c>
      <c r="F57" t="inlineStr">
        <is>
          <t>PLF 3070</t>
        </is>
      </c>
      <c r="G57" t="inlineStr">
        <is>
          <t>NW</t>
        </is>
      </c>
      <c r="H57" t="inlineStr">
        <is>
          <t>P1Y</t>
        </is>
      </c>
      <c r="I57" t="inlineStr">
        <is>
          <t>HOLES</t>
        </is>
      </c>
      <c r="J57" t="inlineStr">
        <is>
          <t>N/A</t>
        </is>
      </c>
      <c r="K57" t="n">
        <v>8600</v>
      </c>
      <c r="L57" t="n">
        <v>9800</v>
      </c>
      <c r="M57" t="n">
        <v>10400</v>
      </c>
      <c r="N57" t="n">
        <v>10800</v>
      </c>
      <c r="O57" t="n">
        <v>11200</v>
      </c>
      <c r="P57" t="n">
        <v>11800</v>
      </c>
      <c r="Q57" t="n">
        <v>12200</v>
      </c>
      <c r="R57" t="n">
        <v>2.827204635810765</v>
      </c>
      <c r="S57" t="n">
        <v>2.808939654004089</v>
      </c>
      <c r="T57" t="n">
        <v>2.801387786526328</v>
      </c>
      <c r="U57" t="n">
        <v>2.796819372866942</v>
      </c>
      <c r="V57" t="n">
        <v>2.792577274468941</v>
      </c>
      <c r="W57" t="n">
        <v>2.786753376668295</v>
      </c>
      <c r="X57" t="n">
        <v>2.783189023915988</v>
      </c>
    </row>
    <row r="58">
      <c r="A58" t="inlineStr">
        <is>
          <t>100X14X15|PRO 7030|NW|P1Y|HOLES|BSU</t>
        </is>
      </c>
      <c r="B58" t="inlineStr">
        <is>
          <t>GB-1001415-M103-01</t>
        </is>
      </c>
      <c r="C58" t="inlineStr">
        <is>
          <t>GB 100x14x15 PRO 7030 NW BSU P1Y + HOLES</t>
        </is>
      </c>
      <c r="D58" t="n">
        <v>2.45</v>
      </c>
      <c r="E58" t="inlineStr">
        <is>
          <t>100X14X15</t>
        </is>
      </c>
      <c r="F58" t="inlineStr">
        <is>
          <t>PRO 7030</t>
        </is>
      </c>
      <c r="G58" t="inlineStr">
        <is>
          <t>NW</t>
        </is>
      </c>
      <c r="H58" t="inlineStr">
        <is>
          <t>P1Y</t>
        </is>
      </c>
      <c r="I58" t="inlineStr">
        <is>
          <t>HOLES</t>
        </is>
      </c>
      <c r="J58" t="inlineStr">
        <is>
          <t>BSU</t>
        </is>
      </c>
      <c r="K58" t="n">
        <v>7400</v>
      </c>
      <c r="L58" t="n">
        <v>8400</v>
      </c>
      <c r="M58" t="n">
        <v>8800</v>
      </c>
      <c r="N58" t="n">
        <v>9200</v>
      </c>
      <c r="O58" t="n">
        <v>9600</v>
      </c>
      <c r="P58" t="n">
        <v>10000</v>
      </c>
      <c r="Q58" t="n">
        <v>10400</v>
      </c>
      <c r="R58" t="n">
        <v>2.732031422046077</v>
      </c>
      <c r="S58" t="n">
        <v>2.711394186596342</v>
      </c>
      <c r="T58" t="n">
        <v>2.704452571035977</v>
      </c>
      <c r="U58" t="n">
        <v>2.698114574219991</v>
      </c>
      <c r="V58" t="n">
        <v>2.692304743805337</v>
      </c>
      <c r="W58" t="n">
        <v>2.686959699823856</v>
      </c>
      <c r="X58" t="n">
        <v>2.682025813071719</v>
      </c>
    </row>
    <row r="59">
      <c r="A59" t="inlineStr">
        <is>
          <t>100X15X10|16MM|TR|P1Y|HOLES|N/A</t>
        </is>
      </c>
      <c r="B59" t="inlineStr">
        <is>
          <t>GB-1001510-M052-01</t>
        </is>
      </c>
      <c r="C59" t="inlineStr">
        <is>
          <t>GB 100x15x10 16mm TR P1Y+HOLES</t>
        </is>
      </c>
      <c r="D59" t="n">
        <v>1.7</v>
      </c>
      <c r="E59" t="inlineStr">
        <is>
          <t>100X15X10</t>
        </is>
      </c>
      <c r="F59" t="inlineStr">
        <is>
          <t>16MM</t>
        </is>
      </c>
      <c r="G59" t="inlineStr">
        <is>
          <t>TR</t>
        </is>
      </c>
      <c r="H59" t="inlineStr">
        <is>
          <t>P1Y</t>
        </is>
      </c>
      <c r="I59" t="inlineStr">
        <is>
          <t>HOLES</t>
        </is>
      </c>
      <c r="J59" t="inlineStr">
        <is>
          <t>N/A</t>
        </is>
      </c>
      <c r="K59" t="n">
        <v>10600</v>
      </c>
      <c r="L59" t="n">
        <v>12200</v>
      </c>
      <c r="M59" t="n">
        <v>12800</v>
      </c>
      <c r="N59" t="n">
        <v>13400</v>
      </c>
      <c r="O59" t="n">
        <v>14000</v>
      </c>
      <c r="P59" t="n">
        <v>14400</v>
      </c>
      <c r="Q59" t="n">
        <v>15000</v>
      </c>
      <c r="R59" t="n">
        <v>3.209547622803773</v>
      </c>
      <c r="S59" t="n">
        <v>3.193676165265194</v>
      </c>
      <c r="T59" t="n">
        <v>3.188747333724894</v>
      </c>
      <c r="U59" t="n">
        <v>3.184259890083724</v>
      </c>
      <c r="V59" t="n">
        <v>3.180157084468941</v>
      </c>
      <c r="W59" t="n">
        <v>3.177611825430141</v>
      </c>
      <c r="X59" t="n">
        <v>3.17404846277582</v>
      </c>
    </row>
    <row r="60">
      <c r="A60" t="inlineStr">
        <is>
          <t>|16MM|TR|P1Y|HOLES|N/A</t>
        </is>
      </c>
      <c r="B60" t="inlineStr">
        <is>
          <t>GB-1001510-M052-02</t>
        </is>
      </c>
      <c r="C60" t="inlineStr">
        <is>
          <t>GB 16mm TR P1Y+HOLES-15L-EN</t>
        </is>
      </c>
      <c r="D60" t="n">
        <v>1.37951856</v>
      </c>
      <c r="E60" t="inlineStr"/>
      <c r="F60" t="inlineStr">
        <is>
          <t>16MM</t>
        </is>
      </c>
      <c r="G60" t="inlineStr">
        <is>
          <t>TR</t>
        </is>
      </c>
      <c r="H60" t="inlineStr">
        <is>
          <t>P1Y</t>
        </is>
      </c>
      <c r="I60" t="inlineStr">
        <is>
          <t>HOLES</t>
        </is>
      </c>
      <c r="J60" t="inlineStr">
        <is>
          <t>N/A</t>
        </is>
      </c>
      <c r="K60" t="n">
        <v>13200</v>
      </c>
      <c r="L60" t="n">
        <v>15000</v>
      </c>
      <c r="M60" t="n">
        <v>15800</v>
      </c>
      <c r="N60" t="n">
        <v>16400</v>
      </c>
      <c r="O60" t="n">
        <v>17200</v>
      </c>
      <c r="P60" t="n">
        <v>17800</v>
      </c>
      <c r="Q60" t="n">
        <v>18600</v>
      </c>
      <c r="R60" t="n">
        <v>2.763767316344048</v>
      </c>
      <c r="S60" t="n">
        <v>2.752105402202634</v>
      </c>
      <c r="T60" t="n">
        <v>2.747775239989788</v>
      </c>
      <c r="U60" t="n">
        <v>2.744804854325489</v>
      </c>
      <c r="V60" t="n">
        <v>2.741166707542858</v>
      </c>
      <c r="W60" t="n">
        <v>2.738652707238006</v>
      </c>
      <c r="X60" t="n">
        <v>2.735553007937401</v>
      </c>
    </row>
    <row r="61">
      <c r="A61" t="inlineStr">
        <is>
          <t>100X20X11|16MM|TR|P1Y|HOLES|N/A</t>
        </is>
      </c>
      <c r="B61" t="inlineStr">
        <is>
          <t>GB-1002011-M052-01</t>
        </is>
      </c>
      <c r="C61" t="inlineStr">
        <is>
          <t>GB 100x20x11 16mm TR P1Y+HOLES-EN</t>
        </is>
      </c>
      <c r="D61" t="n">
        <v>2.079</v>
      </c>
      <c r="E61" t="inlineStr">
        <is>
          <t>100X20X11</t>
        </is>
      </c>
      <c r="F61" t="inlineStr">
        <is>
          <t>16MM</t>
        </is>
      </c>
      <c r="G61" t="inlineStr">
        <is>
          <t>TR</t>
        </is>
      </c>
      <c r="H61" t="inlineStr">
        <is>
          <t>P1Y</t>
        </is>
      </c>
      <c r="I61" t="inlineStr">
        <is>
          <t>HOLES</t>
        </is>
      </c>
      <c r="J61" t="inlineStr">
        <is>
          <t>N/A</t>
        </is>
      </c>
      <c r="K61" t="n">
        <v>8800</v>
      </c>
      <c r="L61" t="n">
        <v>10000</v>
      </c>
      <c r="M61" t="n">
        <v>10400</v>
      </c>
      <c r="N61" t="n">
        <v>10800</v>
      </c>
      <c r="O61" t="n">
        <v>11400</v>
      </c>
      <c r="P61" t="n">
        <v>11800</v>
      </c>
      <c r="Q61" t="n">
        <v>12400</v>
      </c>
      <c r="R61" t="n">
        <v>3.728572600536137</v>
      </c>
      <c r="S61" t="n">
        <v>3.711079729324016</v>
      </c>
      <c r="T61" t="n">
        <v>3.706145842571879</v>
      </c>
      <c r="U61" t="n">
        <v>3.701577428912493</v>
      </c>
      <c r="V61" t="n">
        <v>3.695325915483859</v>
      </c>
      <c r="W61" t="n">
        <v>3.691511432713846</v>
      </c>
      <c r="X61" t="n">
        <v>3.686251137926166</v>
      </c>
    </row>
    <row r="62">
      <c r="A62" t="inlineStr">
        <is>
          <t>|PRO 7030|EW|P1Y|HOLES|BSU</t>
        </is>
      </c>
      <c r="B62" t="inlineStr">
        <is>
          <t>GB-1001512-M131-03</t>
        </is>
      </c>
      <c r="C62" t="inlineStr">
        <is>
          <t>GB PRO 7030 EW P1Y BSU+HOLES-18L-EN</t>
        </is>
      </c>
      <c r="D62" t="n">
        <v>1.75</v>
      </c>
      <c r="E62" t="inlineStr"/>
      <c r="F62" t="inlineStr">
        <is>
          <t>PRO 7030</t>
        </is>
      </c>
      <c r="G62" t="inlineStr">
        <is>
          <t>EW</t>
        </is>
      </c>
      <c r="H62" t="inlineStr">
        <is>
          <t>P1Y</t>
        </is>
      </c>
      <c r="I62" t="inlineStr">
        <is>
          <t>HOLES</t>
        </is>
      </c>
      <c r="J62" t="inlineStr">
        <is>
          <t>BSU</t>
        </is>
      </c>
      <c r="K62" t="n">
        <v>10400</v>
      </c>
      <c r="L62" t="n">
        <v>11800</v>
      </c>
      <c r="M62" t="n">
        <v>12400</v>
      </c>
      <c r="N62" t="n">
        <v>13000</v>
      </c>
      <c r="O62" t="n">
        <v>13600</v>
      </c>
      <c r="P62" t="n">
        <v>14000</v>
      </c>
      <c r="Q62" t="n">
        <v>14600</v>
      </c>
      <c r="R62" t="n">
        <v>2.530004941857122</v>
      </c>
      <c r="S62" t="n">
        <v>2.515370531999089</v>
      </c>
      <c r="T62" t="n">
        <v>2.510110237211409</v>
      </c>
      <c r="U62" t="n">
        <v>2.505335508096438</v>
      </c>
      <c r="V62" t="n">
        <v>2.500982078609258</v>
      </c>
      <c r="W62" t="n">
        <v>2.498287098450528</v>
      </c>
      <c r="X62" t="n">
        <v>2.49452150973559</v>
      </c>
    </row>
    <row r="63">
      <c r="A63" t="inlineStr">
        <is>
          <t>|PLF 3070|EW|P2Y|HOLES|BSU</t>
        </is>
      </c>
      <c r="B63" t="inlineStr">
        <is>
          <t>GB-1001512-M130-05</t>
        </is>
      </c>
      <c r="C63" t="inlineStr">
        <is>
          <t>GB PLF 3070 BSU EW P2Y+HOLES - 18L-EN</t>
        </is>
      </c>
      <c r="D63" t="n">
        <v>1.7</v>
      </c>
      <c r="E63" t="inlineStr"/>
      <c r="F63" t="inlineStr">
        <is>
          <t>PLF 3070</t>
        </is>
      </c>
      <c r="G63" t="inlineStr">
        <is>
          <t>EW</t>
        </is>
      </c>
      <c r="H63" t="inlineStr">
        <is>
          <t>P2Y</t>
        </is>
      </c>
      <c r="I63" t="inlineStr">
        <is>
          <t>HOLES</t>
        </is>
      </c>
      <c r="J63" t="inlineStr">
        <is>
          <t>BSU</t>
        </is>
      </c>
      <c r="K63" t="n">
        <v>10600</v>
      </c>
      <c r="L63" t="n">
        <v>12200</v>
      </c>
      <c r="M63" t="n">
        <v>12800</v>
      </c>
      <c r="N63" t="n">
        <v>13400</v>
      </c>
      <c r="O63" t="n">
        <v>14000</v>
      </c>
      <c r="P63" t="n">
        <v>14400</v>
      </c>
      <c r="Q63" t="n">
        <v>15000</v>
      </c>
      <c r="R63" t="n">
        <v>2.6557777779735</v>
      </c>
      <c r="S63" t="n">
        <v>2.639906320434923</v>
      </c>
      <c r="T63" t="n">
        <v>2.634977488894622</v>
      </c>
      <c r="U63" t="n">
        <v>2.630490045253453</v>
      </c>
      <c r="V63" t="n">
        <v>2.62638723963867</v>
      </c>
      <c r="W63" t="n">
        <v>2.623841980599869</v>
      </c>
      <c r="X63" t="n">
        <v>2.620278617945548</v>
      </c>
    </row>
    <row r="64">
      <c r="A64" t="inlineStr">
        <is>
          <t>|PLF 3070|NW|P1Y|HOLES|N/A</t>
        </is>
      </c>
      <c r="B64" t="inlineStr">
        <is>
          <t>GB-1001814-M107-36</t>
        </is>
      </c>
      <c r="C64" t="inlineStr">
        <is>
          <t>GB PLF 3070 NW P1Y+HOLES-25.2L-EN</t>
        </is>
      </c>
      <c r="D64" t="n">
        <v>2.5</v>
      </c>
      <c r="E64" t="inlineStr"/>
      <c r="F64" t="inlineStr">
        <is>
          <t>PLF 3070</t>
        </is>
      </c>
      <c r="G64" t="inlineStr">
        <is>
          <t>NW</t>
        </is>
      </c>
      <c r="H64" t="inlineStr">
        <is>
          <t>P1Y</t>
        </is>
      </c>
      <c r="I64" t="inlineStr">
        <is>
          <t>HOLES</t>
        </is>
      </c>
      <c r="J64" t="inlineStr">
        <is>
          <t>N/A</t>
        </is>
      </c>
      <c r="K64" t="n">
        <v>7200</v>
      </c>
      <c r="L64" t="n">
        <v>8200</v>
      </c>
      <c r="M64" t="n">
        <v>8600</v>
      </c>
      <c r="N64" t="n">
        <v>9000</v>
      </c>
      <c r="O64" t="n">
        <v>9400</v>
      </c>
      <c r="P64" t="n">
        <v>9800</v>
      </c>
      <c r="Q64" t="n">
        <v>10200</v>
      </c>
      <c r="R64" t="n">
        <v>3.294451423899033</v>
      </c>
      <c r="S64" t="n">
        <v>3.2727236028361</v>
      </c>
      <c r="T64" t="n">
        <v>3.265447309270839</v>
      </c>
      <c r="U64" t="n">
        <v>3.258817797355823</v>
      </c>
      <c r="V64" t="n">
        <v>3.252752499220809</v>
      </c>
      <c r="W64" t="n">
        <v>3.247182327464163</v>
      </c>
      <c r="X64" t="n">
        <v>3.242049031923724</v>
      </c>
    </row>
    <row r="65">
      <c r="A65" t="inlineStr">
        <is>
          <t>100X20X12|PLF 3070|NW|P2Y|HOLES|N/A</t>
        </is>
      </c>
      <c r="B65" t="inlineStr">
        <is>
          <t>GB-1002012-M107-05</t>
        </is>
      </c>
      <c r="C65" t="inlineStr">
        <is>
          <t>GB 100x20x12 PLF 3070 NW P2Y+HOLES (black bag)</t>
        </is>
      </c>
      <c r="D65" t="n">
        <v>2.792</v>
      </c>
      <c r="E65" t="inlineStr">
        <is>
          <t>100X20X12</t>
        </is>
      </c>
      <c r="F65" t="inlineStr">
        <is>
          <t>PLF 3070</t>
        </is>
      </c>
      <c r="G65" t="inlineStr">
        <is>
          <t>NW</t>
        </is>
      </c>
      <c r="H65" t="inlineStr">
        <is>
          <t>P2Y</t>
        </is>
      </c>
      <c r="I65" t="inlineStr">
        <is>
          <t>HOLES</t>
        </is>
      </c>
      <c r="J65" t="inlineStr">
        <is>
          <t>N/A</t>
        </is>
      </c>
      <c r="K65" t="n">
        <v>6400</v>
      </c>
      <c r="L65" t="n">
        <v>7400</v>
      </c>
      <c r="M65" t="n">
        <v>7800</v>
      </c>
      <c r="N65" t="n">
        <v>8000</v>
      </c>
      <c r="O65" t="n">
        <v>8400</v>
      </c>
      <c r="P65" t="n">
        <v>8800</v>
      </c>
      <c r="Q65" t="n">
        <v>9200</v>
      </c>
      <c r="R65" t="n">
        <v>3.543741339002531</v>
      </c>
      <c r="S65" t="n">
        <v>3.516654967474753</v>
      </c>
      <c r="T65" t="n">
        <v>3.507765081434867</v>
      </c>
      <c r="U65" t="n">
        <v>3.50365350914142</v>
      </c>
      <c r="V65" t="n">
        <v>3.496017732025018</v>
      </c>
      <c r="W65" t="n">
        <v>3.489076116464652</v>
      </c>
      <c r="X65" t="n">
        <v>3.482738119648666</v>
      </c>
    </row>
    <row r="66">
      <c r="A66" t="inlineStr">
        <is>
          <t>100X18X16|PLF 3070|NW|P1Y|N/A|N/A</t>
        </is>
      </c>
      <c r="B66" t="inlineStr">
        <is>
          <t>GB-1001816-M107-34</t>
        </is>
      </c>
      <c r="C66" t="inlineStr">
        <is>
          <t>GB 100x18x16 PLF 3070 NW P1Y  – EN</t>
        </is>
      </c>
      <c r="D66" t="n">
        <v>2.9</v>
      </c>
      <c r="E66" t="inlineStr">
        <is>
          <t>100X18X16</t>
        </is>
      </c>
      <c r="F66" t="inlineStr">
        <is>
          <t>PLF 3070</t>
        </is>
      </c>
      <c r="G66" t="inlineStr">
        <is>
          <t>NW</t>
        </is>
      </c>
      <c r="H66" t="inlineStr">
        <is>
          <t>P1Y</t>
        </is>
      </c>
      <c r="I66" t="inlineStr">
        <is>
          <t>N/A</t>
        </is>
      </c>
      <c r="J66" t="inlineStr">
        <is>
          <t>N/A</t>
        </is>
      </c>
      <c r="K66" t="n">
        <v>6200</v>
      </c>
      <c r="L66" t="n">
        <v>7000</v>
      </c>
      <c r="M66" t="n">
        <v>7400</v>
      </c>
      <c r="N66" t="n">
        <v>7800</v>
      </c>
      <c r="O66" t="n">
        <v>8200</v>
      </c>
      <c r="P66" t="n">
        <v>8400</v>
      </c>
      <c r="Q66" t="n">
        <v>8800</v>
      </c>
      <c r="R66" t="n">
        <v>3.677047802151921</v>
      </c>
      <c r="S66" t="n">
        <v>3.65340152463016</v>
      </c>
      <c r="T66" t="n">
        <v>3.643495651614287</v>
      </c>
      <c r="U66" t="n">
        <v>3.6346057655744</v>
      </c>
      <c r="V66" t="n">
        <v>3.626583185489626</v>
      </c>
      <c r="W66" t="n">
        <v>3.622858416164551</v>
      </c>
      <c r="X66" t="n">
        <v>3.615916800604186</v>
      </c>
    </row>
    <row r="67">
      <c r="A67" t="inlineStr">
        <is>
          <t>|PLF 3070|NW|P2Y|HOLES|BSU</t>
        </is>
      </c>
      <c r="B67" t="inlineStr">
        <is>
          <t>GB-1001212-M107-08</t>
        </is>
      </c>
      <c r="C67" t="inlineStr">
        <is>
          <t>GB PLF 3070 NW P2Y BSU+HOLES-14.4L-EN</t>
        </is>
      </c>
      <c r="D67" t="n">
        <v>1.442012152777778</v>
      </c>
      <c r="E67" t="inlineStr"/>
      <c r="F67" t="inlineStr">
        <is>
          <t>PLF 3070</t>
        </is>
      </c>
      <c r="G67" t="inlineStr">
        <is>
          <t>NW</t>
        </is>
      </c>
      <c r="H67" t="inlineStr">
        <is>
          <t>P2Y</t>
        </is>
      </c>
      <c r="I67" t="inlineStr">
        <is>
          <t>HOLES</t>
        </is>
      </c>
      <c r="J67" t="inlineStr">
        <is>
          <t>BSU</t>
        </is>
      </c>
      <c r="K67" t="n">
        <v>12600</v>
      </c>
      <c r="L67" t="n">
        <v>14400</v>
      </c>
      <c r="M67" t="n">
        <v>15000</v>
      </c>
      <c r="N67" t="n">
        <v>15800</v>
      </c>
      <c r="O67" t="n">
        <v>16400</v>
      </c>
      <c r="P67" t="n">
        <v>17000</v>
      </c>
      <c r="Q67" t="n">
        <v>17800</v>
      </c>
      <c r="R67" t="n">
        <v>2.131294787389458</v>
      </c>
      <c r="S67" t="n">
        <v>2.118568492195454</v>
      </c>
      <c r="T67" t="n">
        <v>2.115005129541133</v>
      </c>
      <c r="U67" t="n">
        <v>2.110674967328288</v>
      </c>
      <c r="V67" t="n">
        <v>2.107704581663988</v>
      </c>
      <c r="W67" t="n">
        <v>2.104943870281874</v>
      </c>
      <c r="X67" t="n">
        <v>2.101552434576506</v>
      </c>
    </row>
    <row r="68">
      <c r="A68" t="inlineStr">
        <is>
          <t>100X20X08|16MM|WA|P2Y|HOLES|N/A</t>
        </is>
      </c>
      <c r="B68" t="inlineStr">
        <is>
          <t>GB-1002008-M042-04</t>
        </is>
      </c>
      <c r="C68" t="inlineStr">
        <is>
          <t>GB 100x20x08 16mm WA P2Y + HOLES (White Plastic Bag)</t>
        </is>
      </c>
      <c r="D68" t="n">
        <v>1.85</v>
      </c>
      <c r="E68" t="inlineStr">
        <is>
          <t>100X20X08</t>
        </is>
      </c>
      <c r="F68" t="inlineStr">
        <is>
          <t>16MM</t>
        </is>
      </c>
      <c r="G68" t="inlineStr">
        <is>
          <t>WA</t>
        </is>
      </c>
      <c r="H68" t="inlineStr">
        <is>
          <t>P2Y</t>
        </is>
      </c>
      <c r="I68" t="inlineStr">
        <is>
          <t>HOLES</t>
        </is>
      </c>
      <c r="J68" t="inlineStr">
        <is>
          <t>N/A</t>
        </is>
      </c>
      <c r="K68" t="n">
        <v>9800</v>
      </c>
      <c r="L68" t="n">
        <v>11200</v>
      </c>
      <c r="M68" t="n">
        <v>11600</v>
      </c>
      <c r="N68" t="n">
        <v>12200</v>
      </c>
      <c r="O68" t="n">
        <v>12800</v>
      </c>
      <c r="P68" t="n">
        <v>13400</v>
      </c>
      <c r="Q68" t="n">
        <v>13800</v>
      </c>
      <c r="R68" t="n">
        <v>3.005507936722343</v>
      </c>
      <c r="S68" t="n">
        <v>2.989145557187196</v>
      </c>
      <c r="T68" t="n">
        <v>2.985196017299402</v>
      </c>
      <c r="U68" t="n">
        <v>2.979757306634242</v>
      </c>
      <c r="V68" t="n">
        <v>2.974828475093942</v>
      </c>
      <c r="W68" t="n">
        <v>2.970341031452773</v>
      </c>
      <c r="X68" t="n">
        <v>2.967566187075625</v>
      </c>
    </row>
    <row r="69">
      <c r="A69" t="inlineStr">
        <is>
          <t>|16MM|WA|P1Y|HOLES|N/A</t>
        </is>
      </c>
      <c r="B69" t="inlineStr">
        <is>
          <t>GB-1002010-M042-03</t>
        </is>
      </c>
      <c r="C69" t="inlineStr">
        <is>
          <t>GB 16mm WA P1Y + HOLES -20L-EN</t>
        </is>
      </c>
      <c r="D69" t="n">
        <v>1.86</v>
      </c>
      <c r="E69" t="inlineStr"/>
      <c r="F69" t="inlineStr">
        <is>
          <t>16MM</t>
        </is>
      </c>
      <c r="G69" t="inlineStr">
        <is>
          <t>WA</t>
        </is>
      </c>
      <c r="H69" t="inlineStr">
        <is>
          <t>P1Y</t>
        </is>
      </c>
      <c r="I69" t="inlineStr">
        <is>
          <t>HOLES</t>
        </is>
      </c>
      <c r="J69" t="inlineStr">
        <is>
          <t>N/A</t>
        </is>
      </c>
      <c r="K69" t="n">
        <v>9800</v>
      </c>
      <c r="L69" t="n">
        <v>11000</v>
      </c>
      <c r="M69" t="n">
        <v>11600</v>
      </c>
      <c r="N69" t="n">
        <v>12200</v>
      </c>
      <c r="O69" t="n">
        <v>12600</v>
      </c>
      <c r="P69" t="n">
        <v>13200</v>
      </c>
      <c r="Q69" t="n">
        <v>13800</v>
      </c>
      <c r="R69" t="n">
        <v>3.001008936975869</v>
      </c>
      <c r="S69" t="n">
        <v>2.986729042108832</v>
      </c>
      <c r="T69" t="n">
        <v>2.980697017552928</v>
      </c>
      <c r="U69" t="n">
        <v>2.975258306887769</v>
      </c>
      <c r="V69" t="n">
        <v>2.971920262246719</v>
      </c>
      <c r="W69" t="n">
        <v>2.967292518539808</v>
      </c>
      <c r="X69" t="n">
        <v>2.963067187329151</v>
      </c>
    </row>
    <row r="70">
      <c r="A70" t="inlineStr">
        <is>
          <t>100X12X12|16MM|EW|P2Y|HOLES|N/A</t>
        </is>
      </c>
      <c r="B70" t="inlineStr">
        <is>
          <t>GB-1001212-M021-01</t>
        </is>
      </c>
      <c r="C70" t="inlineStr">
        <is>
          <t>GB 100x12x12 16mm EW P2Y + HOLES</t>
        </is>
      </c>
      <c r="D70" t="n">
        <v>1.65</v>
      </c>
      <c r="E70" t="inlineStr">
        <is>
          <t>100X12X12</t>
        </is>
      </c>
      <c r="F70" t="inlineStr">
        <is>
          <t>16MM</t>
        </is>
      </c>
      <c r="G70" t="inlineStr">
        <is>
          <t>EW</t>
        </is>
      </c>
      <c r="H70" t="inlineStr">
        <is>
          <t>P2Y</t>
        </is>
      </c>
      <c r="I70" t="inlineStr">
        <is>
          <t>HOLES</t>
        </is>
      </c>
      <c r="J70" t="inlineStr">
        <is>
          <t>N/A</t>
        </is>
      </c>
      <c r="K70" t="n">
        <v>11000</v>
      </c>
      <c r="L70" t="n">
        <v>12600</v>
      </c>
      <c r="M70" t="n">
        <v>13200</v>
      </c>
      <c r="N70" t="n">
        <v>13800</v>
      </c>
      <c r="O70" t="n">
        <v>14400</v>
      </c>
      <c r="P70" t="n">
        <v>15000</v>
      </c>
      <c r="Q70" t="n">
        <v>15600</v>
      </c>
      <c r="R70" t="n">
        <v>2.821853590080613</v>
      </c>
      <c r="S70" t="n">
        <v>2.8070448102185</v>
      </c>
      <c r="T70" t="n">
        <v>2.80241706651159</v>
      </c>
      <c r="U70" t="n">
        <v>2.798191735300933</v>
      </c>
      <c r="V70" t="n">
        <v>2.794318515024496</v>
      </c>
      <c r="W70" t="n">
        <v>2.790755152370176</v>
      </c>
      <c r="X70" t="n">
        <v>2.787465894535418</v>
      </c>
    </row>
    <row r="71">
      <c r="A71" t="inlineStr">
        <is>
          <t>100X18X14|16MM|NW|P3Y|HOLES|N/A</t>
        </is>
      </c>
      <c r="B71" t="inlineStr">
        <is>
          <t>GB-1001814-M003-22</t>
        </is>
      </c>
      <c r="C71" t="inlineStr">
        <is>
          <t>GB 100x18x14 16mm NW P3Y+HOLES (SP)</t>
        </is>
      </c>
      <c r="D71" t="n">
        <v>2.8</v>
      </c>
      <c r="E71" t="inlineStr">
        <is>
          <t>100X18X14</t>
        </is>
      </c>
      <c r="F71" t="inlineStr">
        <is>
          <t>16MM</t>
        </is>
      </c>
      <c r="G71" t="inlineStr">
        <is>
          <t>NW</t>
        </is>
      </c>
      <c r="H71" t="inlineStr">
        <is>
          <t>P3Y</t>
        </is>
      </c>
      <c r="I71" t="inlineStr">
        <is>
          <t>HOLES</t>
        </is>
      </c>
      <c r="J71" t="inlineStr">
        <is>
          <t>N/A</t>
        </is>
      </c>
      <c r="K71" t="n">
        <v>6400</v>
      </c>
      <c r="L71" t="n">
        <v>7400</v>
      </c>
      <c r="M71" t="n">
        <v>7600</v>
      </c>
      <c r="N71" t="n">
        <v>8000</v>
      </c>
      <c r="O71" t="n">
        <v>8400</v>
      </c>
      <c r="P71" t="n">
        <v>8800</v>
      </c>
      <c r="Q71" t="n">
        <v>9200</v>
      </c>
      <c r="R71" t="n">
        <v>4.015750593786974</v>
      </c>
      <c r="S71" t="n">
        <v>3.988664222259197</v>
      </c>
      <c r="T71" t="n">
        <v>3.984102307054518</v>
      </c>
      <c r="U71" t="n">
        <v>3.975662763925863</v>
      </c>
      <c r="V71" t="n">
        <v>3.96802698680946</v>
      </c>
      <c r="W71" t="n">
        <v>3.961085371249095</v>
      </c>
      <c r="X71" t="n">
        <v>3.954747374433109</v>
      </c>
    </row>
    <row r="72">
      <c r="A72" t="inlineStr">
        <is>
          <t>100X20X08|16MM|EW|P2Y|HOLES|N/A</t>
        </is>
      </c>
      <c r="B72" t="inlineStr">
        <is>
          <t>GB-1002008-M021-05</t>
        </is>
      </c>
      <c r="C72" t="inlineStr">
        <is>
          <t>GB 100x20x08 16mm EW P2Y + HOLES (550 Guage)</t>
        </is>
      </c>
      <c r="D72" t="n">
        <v>1.777777777777778</v>
      </c>
      <c r="E72" t="inlineStr">
        <is>
          <t>100X20X08</t>
        </is>
      </c>
      <c r="F72" t="inlineStr">
        <is>
          <t>16MM</t>
        </is>
      </c>
      <c r="G72" t="inlineStr">
        <is>
          <t>EW</t>
        </is>
      </c>
      <c r="H72" t="inlineStr">
        <is>
          <t>P2Y</t>
        </is>
      </c>
      <c r="I72" t="inlineStr">
        <is>
          <t>HOLES</t>
        </is>
      </c>
      <c r="J72" t="inlineStr">
        <is>
          <t>N/A</t>
        </is>
      </c>
      <c r="K72" t="n">
        <v>10200</v>
      </c>
      <c r="L72" t="n">
        <v>11600</v>
      </c>
      <c r="M72" t="n">
        <v>12200</v>
      </c>
      <c r="N72" t="n">
        <v>12800</v>
      </c>
      <c r="O72" t="n">
        <v>13200</v>
      </c>
      <c r="P72" t="n">
        <v>13800</v>
      </c>
      <c r="Q72" t="n">
        <v>14400</v>
      </c>
      <c r="R72" t="n">
        <v>3.026553141707999</v>
      </c>
      <c r="S72" t="n">
        <v>3.011374517825495</v>
      </c>
      <c r="T72" t="n">
        <v>3.005935807160337</v>
      </c>
      <c r="U72" t="n">
        <v>3.001006975620036</v>
      </c>
      <c r="V72" t="n">
        <v>2.997970018812376</v>
      </c>
      <c r="W72" t="n">
        <v>2.993744687601719</v>
      </c>
      <c r="X72" t="n">
        <v>2.989871467325283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Product_No</t>
        </is>
      </c>
      <c r="C1" t="inlineStr">
        <is>
          <t>Description</t>
        </is>
      </c>
      <c r="D1" t="inlineStr">
        <is>
          <t>Weight</t>
        </is>
      </c>
      <c r="E1" t="inlineStr">
        <is>
          <t>Size</t>
        </is>
      </c>
      <c r="F1" t="inlineStr">
        <is>
          <t>Chips_Pith</t>
        </is>
      </c>
      <c r="G1" t="inlineStr">
        <is>
          <t>EC_Level</t>
        </is>
      </c>
      <c r="H1" t="inlineStr">
        <is>
          <t>Plastic</t>
        </is>
      </c>
      <c r="I1" t="inlineStr">
        <is>
          <t>Holes</t>
        </is>
      </c>
      <c r="J1" t="inlineStr">
        <is>
          <t>BSU</t>
        </is>
      </c>
      <c r="K1" t="inlineStr">
        <is>
          <t>PCS@19.5</t>
        </is>
      </c>
      <c r="L1" t="inlineStr">
        <is>
          <t>PCS@22</t>
        </is>
      </c>
      <c r="M1" t="inlineStr">
        <is>
          <t>PCS@23</t>
        </is>
      </c>
      <c r="N1" t="inlineStr">
        <is>
          <t>PCS@24</t>
        </is>
      </c>
      <c r="O1" t="inlineStr">
        <is>
          <t>PCS@25</t>
        </is>
      </c>
      <c r="P1" t="inlineStr">
        <is>
          <t>PCS@26</t>
        </is>
      </c>
      <c r="Q1" t="inlineStr">
        <is>
          <t>PCS@27</t>
        </is>
      </c>
      <c r="R1" t="inlineStr">
        <is>
          <t>FOB@19.5</t>
        </is>
      </c>
      <c r="S1" t="inlineStr">
        <is>
          <t>FOB@22</t>
        </is>
      </c>
      <c r="T1" t="inlineStr">
        <is>
          <t>FOB@23</t>
        </is>
      </c>
      <c r="U1" t="inlineStr">
        <is>
          <t>FOB@24</t>
        </is>
      </c>
      <c r="V1" t="inlineStr">
        <is>
          <t>FOB@25</t>
        </is>
      </c>
      <c r="W1" t="inlineStr">
        <is>
          <t>FOB@26</t>
        </is>
      </c>
      <c r="X1" t="inlineStr">
        <is>
          <t>FOB@27</t>
        </is>
      </c>
    </row>
    <row r="2">
      <c r="A2" t="inlineStr">
        <is>
          <t>100X12X12|16MM|NW|P1Y|HOLES|N/A</t>
        </is>
      </c>
      <c r="B2" t="inlineStr">
        <is>
          <t>GB-1001212-M003-01</t>
        </is>
      </c>
      <c r="C2" t="inlineStr">
        <is>
          <t>GB 100x12x12 16mm NW P1Y + HOLES</t>
        </is>
      </c>
      <c r="D2" t="n">
        <v>1.58</v>
      </c>
      <c r="E2" t="inlineStr">
        <is>
          <t>100X12X12</t>
        </is>
      </c>
      <c r="F2" t="inlineStr">
        <is>
          <t>16MM</t>
        </is>
      </c>
      <c r="G2" t="inlineStr">
        <is>
          <t>NW</t>
        </is>
      </c>
      <c r="H2" t="inlineStr">
        <is>
          <t>P1Y</t>
        </is>
      </c>
      <c r="I2" t="inlineStr">
        <is>
          <t>HOLES</t>
        </is>
      </c>
      <c r="J2" t="inlineStr">
        <is>
          <t>N/A</t>
        </is>
      </c>
      <c r="K2" t="n">
        <v>11400</v>
      </c>
      <c r="L2" t="n">
        <v>13000</v>
      </c>
      <c r="M2" t="n">
        <v>13600</v>
      </c>
      <c r="N2" t="n">
        <v>14400</v>
      </c>
      <c r="O2" t="n">
        <v>15000</v>
      </c>
      <c r="P2" t="n">
        <v>15600</v>
      </c>
      <c r="Q2" t="n">
        <v>16200</v>
      </c>
      <c r="R2" t="n">
        <v>2.747909987937712</v>
      </c>
      <c r="S2" t="n">
        <v>2.73953818430275</v>
      </c>
      <c r="T2" t="n">
        <v>2.736906606321908</v>
      </c>
      <c r="U2" t="n">
        <v>2.733738966159782</v>
      </c>
      <c r="V2" t="n">
        <v>2.731584970849537</v>
      </c>
      <c r="W2" t="n">
        <v>2.729596667486233</v>
      </c>
      <c r="X2" t="n">
        <v>2.727755645853545</v>
      </c>
    </row>
    <row r="3">
      <c r="A3" t="inlineStr">
        <is>
          <t>100X12X12|PLF 3070|NW|P2Y|HOLES|N/A</t>
        </is>
      </c>
      <c r="B3" t="inlineStr">
        <is>
          <t>GB-1001212-M107-04</t>
        </is>
      </c>
      <c r="C3" t="inlineStr">
        <is>
          <t>GB 100x12x12 PLF 3070 NW P2Y+ HOLES</t>
        </is>
      </c>
      <c r="D3" t="n">
        <v>1.6</v>
      </c>
      <c r="E3" t="inlineStr">
        <is>
          <t>100X12X12</t>
        </is>
      </c>
      <c r="F3" t="inlineStr">
        <is>
          <t>PLF 3070</t>
        </is>
      </c>
      <c r="G3" t="inlineStr">
        <is>
          <t>NW</t>
        </is>
      </c>
      <c r="H3" t="inlineStr">
        <is>
          <t>P2Y</t>
        </is>
      </c>
      <c r="I3" t="inlineStr">
        <is>
          <t>HOLES</t>
        </is>
      </c>
      <c r="J3" t="inlineStr">
        <is>
          <t>N/A</t>
        </is>
      </c>
      <c r="K3" t="n">
        <v>11400</v>
      </c>
      <c r="L3" t="n">
        <v>13000</v>
      </c>
      <c r="M3" t="n">
        <v>13600</v>
      </c>
      <c r="N3" t="n">
        <v>14200</v>
      </c>
      <c r="O3" t="n">
        <v>14800</v>
      </c>
      <c r="P3" t="n">
        <v>15400</v>
      </c>
      <c r="Q3" t="n">
        <v>16000</v>
      </c>
      <c r="R3" t="n">
        <v>2.230982866751161</v>
      </c>
      <c r="S3" t="n">
        <v>2.222611063116199</v>
      </c>
      <c r="T3" t="n">
        <v>2.219979485135356</v>
      </c>
      <c r="U3" t="n">
        <v>2.217570294026134</v>
      </c>
      <c r="V3" t="n">
        <v>2.215356442736578</v>
      </c>
      <c r="W3" t="n">
        <v>2.213315099339716</v>
      </c>
      <c r="X3" t="n">
        <v>2.211426856697617</v>
      </c>
    </row>
    <row r="4">
      <c r="A4" t="inlineStr">
        <is>
          <t>100X15X08|PLF 3070|NW|P2Y|HOLES|N/A</t>
        </is>
      </c>
      <c r="B4" t="inlineStr">
        <is>
          <t>GB-1001508-M107-01</t>
        </is>
      </c>
      <c r="C4" t="inlineStr">
        <is>
          <t>GB 100x15x08 PLF 3070 NW P2Y+ HOLES</t>
        </is>
      </c>
      <c r="D4" t="n">
        <v>1.35</v>
      </c>
      <c r="E4" t="inlineStr">
        <is>
          <t>100X15X08</t>
        </is>
      </c>
      <c r="F4" t="inlineStr">
        <is>
          <t>PLF 3070</t>
        </is>
      </c>
      <c r="G4" t="inlineStr">
        <is>
          <t>NW</t>
        </is>
      </c>
      <c r="H4" t="inlineStr">
        <is>
          <t>P2Y</t>
        </is>
      </c>
      <c r="I4" t="inlineStr">
        <is>
          <t>HOLES</t>
        </is>
      </c>
      <c r="J4" t="inlineStr">
        <is>
          <t>N/A</t>
        </is>
      </c>
      <c r="K4" t="n">
        <v>13400</v>
      </c>
      <c r="L4" t="n">
        <v>15400</v>
      </c>
      <c r="M4" t="n">
        <v>16000</v>
      </c>
      <c r="N4" t="n">
        <v>16800</v>
      </c>
      <c r="O4" t="n">
        <v>17600</v>
      </c>
      <c r="P4" t="n">
        <v>18200</v>
      </c>
      <c r="Q4" t="n">
        <v>19000</v>
      </c>
      <c r="R4" t="n">
        <v>1.942564198446266</v>
      </c>
      <c r="S4" t="n">
        <v>1.935048804845875</v>
      </c>
      <c r="T4" t="n">
        <v>1.933160562203777</v>
      </c>
      <c r="U4" t="n">
        <v>1.930852710085657</v>
      </c>
      <c r="V4" t="n">
        <v>1.928754662705548</v>
      </c>
      <c r="W4" t="n">
        <v>1.927302168365473</v>
      </c>
      <c r="X4" t="n">
        <v>1.925508210443695</v>
      </c>
    </row>
    <row r="5">
      <c r="A5" t="inlineStr">
        <is>
          <t>100X15X10|PRO 7030|NW|P1Y|HOLES|N/A</t>
        </is>
      </c>
      <c r="B5" t="inlineStr">
        <is>
          <t>GB-1001510-M103-01</t>
        </is>
      </c>
      <c r="C5" t="inlineStr">
        <is>
          <t>GB 100x15x10 PRO 7030 NW P1Y + HOLES</t>
        </is>
      </c>
      <c r="D5" t="n">
        <v>1.8</v>
      </c>
      <c r="E5" t="inlineStr">
        <is>
          <t>100X15X10</t>
        </is>
      </c>
      <c r="F5" t="inlineStr">
        <is>
          <t>PRO 7030</t>
        </is>
      </c>
      <c r="G5" t="inlineStr">
        <is>
          <t>NW</t>
        </is>
      </c>
      <c r="H5" t="inlineStr">
        <is>
          <t>P1Y</t>
        </is>
      </c>
      <c r="I5" t="inlineStr">
        <is>
          <t>HOLES</t>
        </is>
      </c>
      <c r="J5" t="inlineStr">
        <is>
          <t>N/A</t>
        </is>
      </c>
      <c r="K5" t="n">
        <v>10000</v>
      </c>
      <c r="L5" t="n">
        <v>11400</v>
      </c>
      <c r="M5" t="n">
        <v>12000</v>
      </c>
      <c r="N5" t="n">
        <v>12600</v>
      </c>
      <c r="O5" t="n">
        <v>13200</v>
      </c>
      <c r="P5" t="n">
        <v>13600</v>
      </c>
      <c r="Q5" t="n">
        <v>14200</v>
      </c>
      <c r="R5" t="n">
        <v>2.257427410201731</v>
      </c>
      <c r="S5" t="n">
        <v>2.247904483566962</v>
      </c>
      <c r="T5" t="n">
        <v>2.244503438340259</v>
      </c>
      <c r="U5" t="n">
        <v>2.241426302182766</v>
      </c>
      <c r="V5" t="n">
        <v>2.238628905675954</v>
      </c>
      <c r="W5" t="n">
        <v>2.236901101951158</v>
      </c>
      <c r="X5" t="n">
        <v>2.234491910841935</v>
      </c>
    </row>
    <row r="6">
      <c r="A6" t="inlineStr">
        <is>
          <t>100X15X10|PRO 7030|NW|P3Y|N/A|N/A</t>
        </is>
      </c>
      <c r="B6" t="inlineStr">
        <is>
          <t>GB-1001510-M103-03</t>
        </is>
      </c>
      <c r="C6" t="inlineStr">
        <is>
          <t>GB 100x15x10 PRO 7030 NW P3Y</t>
        </is>
      </c>
      <c r="D6" t="n">
        <v>1.8</v>
      </c>
      <c r="E6" t="inlineStr">
        <is>
          <t>100X15X10</t>
        </is>
      </c>
      <c r="F6" t="inlineStr">
        <is>
          <t>PRO 7030</t>
        </is>
      </c>
      <c r="G6" t="inlineStr">
        <is>
          <t>NW</t>
        </is>
      </c>
      <c r="H6" t="inlineStr">
        <is>
          <t>P3Y</t>
        </is>
      </c>
      <c r="I6" t="inlineStr">
        <is>
          <t>N/A</t>
        </is>
      </c>
      <c r="J6" t="inlineStr">
        <is>
          <t>N/A</t>
        </is>
      </c>
      <c r="K6" t="n">
        <v>10000</v>
      </c>
      <c r="L6" t="n">
        <v>11400</v>
      </c>
      <c r="M6" t="n">
        <v>12000</v>
      </c>
      <c r="N6" t="n">
        <v>12600</v>
      </c>
      <c r="O6" t="n">
        <v>13200</v>
      </c>
      <c r="P6" t="n">
        <v>13600</v>
      </c>
      <c r="Q6" t="n">
        <v>14200</v>
      </c>
      <c r="R6" t="n">
        <v>2.363664861500432</v>
      </c>
      <c r="S6" t="n">
        <v>2.354141934865663</v>
      </c>
      <c r="T6" t="n">
        <v>2.35074088963896</v>
      </c>
      <c r="U6" t="n">
        <v>2.347663753481467</v>
      </c>
      <c r="V6" t="n">
        <v>2.344866356974655</v>
      </c>
      <c r="W6" t="n">
        <v>2.343138553249859</v>
      </c>
      <c r="X6" t="n">
        <v>2.340729362140637</v>
      </c>
    </row>
    <row r="7">
      <c r="A7" t="inlineStr">
        <is>
          <t>100X15X10|PRO 7030|NW|P1Y|HOLES|N/A</t>
        </is>
      </c>
      <c r="B7" t="inlineStr">
        <is>
          <t>GB-1001510-M103-07</t>
        </is>
      </c>
      <c r="C7" t="inlineStr">
        <is>
          <t>GB 100x15x10 PRO 7030 NW P1Y + HOLES</t>
        </is>
      </c>
      <c r="D7" t="n">
        <v>1.8</v>
      </c>
      <c r="E7" t="inlineStr">
        <is>
          <t>100X15X10</t>
        </is>
      </c>
      <c r="F7" t="inlineStr">
        <is>
          <t>PRO 7030</t>
        </is>
      </c>
      <c r="G7" t="inlineStr">
        <is>
          <t>NW</t>
        </is>
      </c>
      <c r="H7" t="inlineStr">
        <is>
          <t>P1Y</t>
        </is>
      </c>
      <c r="I7" t="inlineStr">
        <is>
          <t>HOLES</t>
        </is>
      </c>
      <c r="J7" t="inlineStr">
        <is>
          <t>N/A</t>
        </is>
      </c>
      <c r="K7" t="n">
        <v>10000</v>
      </c>
      <c r="L7" t="n">
        <v>11400</v>
      </c>
      <c r="M7" t="n">
        <v>12000</v>
      </c>
      <c r="N7" t="n">
        <v>12600</v>
      </c>
      <c r="O7" t="n">
        <v>13200</v>
      </c>
      <c r="P7" t="n">
        <v>13600</v>
      </c>
      <c r="Q7" t="n">
        <v>14200</v>
      </c>
      <c r="R7" t="n">
        <v>2.257427410201731</v>
      </c>
      <c r="S7" t="n">
        <v>2.247904483566962</v>
      </c>
      <c r="T7" t="n">
        <v>2.244503438340259</v>
      </c>
      <c r="U7" t="n">
        <v>2.241426302182766</v>
      </c>
      <c r="V7" t="n">
        <v>2.238628905675954</v>
      </c>
      <c r="W7" t="n">
        <v>2.236901101951158</v>
      </c>
      <c r="X7" t="n">
        <v>2.234491910841935</v>
      </c>
    </row>
    <row r="8">
      <c r="A8" t="inlineStr">
        <is>
          <t>100X15X11|PRO 5050|NW|P1Y|HOLES|N/A</t>
        </is>
      </c>
      <c r="B8" t="inlineStr">
        <is>
          <t>GB-1001511-M105-02</t>
        </is>
      </c>
      <c r="C8" t="inlineStr">
        <is>
          <t>GB 100x15x11 PRO 5050 NW P1Y+HOLES</t>
        </is>
      </c>
      <c r="D8" t="n">
        <v>1.9</v>
      </c>
      <c r="E8" t="inlineStr">
        <is>
          <t>100X15X11</t>
        </is>
      </c>
      <c r="F8" t="inlineStr">
        <is>
          <t>PRO 5050</t>
        </is>
      </c>
      <c r="G8" t="inlineStr">
        <is>
          <t>NW</t>
        </is>
      </c>
      <c r="H8" t="inlineStr">
        <is>
          <t>P1Y</t>
        </is>
      </c>
      <c r="I8" t="inlineStr">
        <is>
          <t>HOLES</t>
        </is>
      </c>
      <c r="J8" t="inlineStr">
        <is>
          <t>N/A</t>
        </is>
      </c>
      <c r="K8" t="n">
        <v>9600</v>
      </c>
      <c r="L8" t="n">
        <v>10800</v>
      </c>
      <c r="M8" t="n">
        <v>11400</v>
      </c>
      <c r="N8" t="n">
        <v>12000</v>
      </c>
      <c r="O8" t="n">
        <v>12400</v>
      </c>
      <c r="P8" t="n">
        <v>13000</v>
      </c>
      <c r="Q8" t="n">
        <v>13400</v>
      </c>
      <c r="R8" t="n">
        <v>2.610444927381609</v>
      </c>
      <c r="S8" t="n">
        <v>2.601469946922253</v>
      </c>
      <c r="T8" t="n">
        <v>2.597691007781473</v>
      </c>
      <c r="U8" t="n">
        <v>2.594289962554769</v>
      </c>
      <c r="V8" t="n">
        <v>2.592205450964209</v>
      </c>
      <c r="W8" t="n">
        <v>2.589319204146511</v>
      </c>
      <c r="X8" t="n">
        <v>2.587538633970418</v>
      </c>
    </row>
    <row r="9">
      <c r="A9" t="inlineStr">
        <is>
          <t>100X15X11|PRO 5050|NW|P1Y|HOLES|BSU</t>
        </is>
      </c>
      <c r="B9" t="inlineStr">
        <is>
          <t>GB-1001511-M105-03</t>
        </is>
      </c>
      <c r="C9" t="inlineStr">
        <is>
          <t>GB 100x15x11 PRO 5050 NW BSU P1Y+HOLES</t>
        </is>
      </c>
      <c r="D9" t="n">
        <v>1.9</v>
      </c>
      <c r="E9" t="inlineStr">
        <is>
          <t>100X15X11</t>
        </is>
      </c>
      <c r="F9" t="inlineStr">
        <is>
          <t>PRO 5050</t>
        </is>
      </c>
      <c r="G9" t="inlineStr">
        <is>
          <t>NW</t>
        </is>
      </c>
      <c r="H9" t="inlineStr">
        <is>
          <t>P1Y</t>
        </is>
      </c>
      <c r="I9" t="inlineStr">
        <is>
          <t>HOLES</t>
        </is>
      </c>
      <c r="J9" t="inlineStr">
        <is>
          <t>BSU</t>
        </is>
      </c>
      <c r="K9" t="n">
        <v>9600</v>
      </c>
      <c r="L9" t="n">
        <v>10800</v>
      </c>
      <c r="M9" t="n">
        <v>11400</v>
      </c>
      <c r="N9" t="n">
        <v>12000</v>
      </c>
      <c r="O9" t="n">
        <v>12400</v>
      </c>
      <c r="P9" t="n">
        <v>13000</v>
      </c>
      <c r="Q9" t="n">
        <v>13400</v>
      </c>
      <c r="R9" t="n">
        <v>2.610444927381609</v>
      </c>
      <c r="S9" t="n">
        <v>2.601469946922253</v>
      </c>
      <c r="T9" t="n">
        <v>2.597691007781473</v>
      </c>
      <c r="U9" t="n">
        <v>2.594289962554769</v>
      </c>
      <c r="V9" t="n">
        <v>2.592205450964209</v>
      </c>
      <c r="W9" t="n">
        <v>2.589319204146511</v>
      </c>
      <c r="X9" t="n">
        <v>2.587538633970418</v>
      </c>
    </row>
    <row r="10">
      <c r="A10" t="inlineStr">
        <is>
          <t>100X15X12|16MM|NW|P2Y|HOLES|N/A</t>
        </is>
      </c>
      <c r="B10" t="inlineStr">
        <is>
          <t>GB-1001512-M003-01</t>
        </is>
      </c>
      <c r="C10" t="inlineStr">
        <is>
          <t>GB 100x15x12 16mm NW P2Y + HOLES</t>
        </is>
      </c>
      <c r="D10" t="n">
        <v>1.95</v>
      </c>
      <c r="E10" t="inlineStr">
        <is>
          <t>100X15X12</t>
        </is>
      </c>
      <c r="F10" t="inlineStr">
        <is>
          <t>16MM</t>
        </is>
      </c>
      <c r="G10" t="inlineStr">
        <is>
          <t>NW</t>
        </is>
      </c>
      <c r="H10" t="inlineStr">
        <is>
          <t>P2Y</t>
        </is>
      </c>
      <c r="I10" t="inlineStr">
        <is>
          <t>HOLES</t>
        </is>
      </c>
      <c r="J10" t="inlineStr">
        <is>
          <t>N/A</t>
        </is>
      </c>
      <c r="K10" t="n">
        <v>9200</v>
      </c>
      <c r="L10" t="n">
        <v>10600</v>
      </c>
      <c r="M10" t="n">
        <v>11000</v>
      </c>
      <c r="N10" t="n">
        <v>11600</v>
      </c>
      <c r="O10" t="n">
        <v>12200</v>
      </c>
      <c r="P10" t="n">
        <v>12600</v>
      </c>
      <c r="Q10" t="n">
        <v>13200</v>
      </c>
      <c r="R10" t="n">
        <v>3.335191709778924</v>
      </c>
      <c r="S10" t="n">
        <v>3.324059494475769</v>
      </c>
      <c r="T10" t="n">
        <v>3.321399328740989</v>
      </c>
      <c r="U10" t="n">
        <v>3.317753067087283</v>
      </c>
      <c r="V10" t="n">
        <v>3.314465454120826</v>
      </c>
      <c r="W10" t="n">
        <v>3.312447659919191</v>
      </c>
      <c r="X10" t="n">
        <v>3.309650263412379</v>
      </c>
    </row>
    <row r="11">
      <c r="A11" t="inlineStr">
        <is>
          <t>100X15X12|16MM|NW|P2Y|HOLES|N/A</t>
        </is>
      </c>
      <c r="B11" t="inlineStr">
        <is>
          <t>GB-1001512-M003-06</t>
        </is>
      </c>
      <c r="C11" t="inlineStr">
        <is>
          <t>GB 100x15x12 16mm NW P2Y + HOLES</t>
        </is>
      </c>
      <c r="D11" t="n">
        <v>1.95</v>
      </c>
      <c r="E11" t="inlineStr">
        <is>
          <t>100X15X12</t>
        </is>
      </c>
      <c r="F11" t="inlineStr">
        <is>
          <t>16MM</t>
        </is>
      </c>
      <c r="G11" t="inlineStr">
        <is>
          <t>NW</t>
        </is>
      </c>
      <c r="H11" t="inlineStr">
        <is>
          <t>P2Y</t>
        </is>
      </c>
      <c r="I11" t="inlineStr">
        <is>
          <t>HOLES</t>
        </is>
      </c>
      <c r="J11" t="inlineStr">
        <is>
          <t>N/A</t>
        </is>
      </c>
      <c r="K11" t="n">
        <v>9200</v>
      </c>
      <c r="L11" t="n">
        <v>10600</v>
      </c>
      <c r="M11" t="n">
        <v>11000</v>
      </c>
      <c r="N11" t="n">
        <v>11600</v>
      </c>
      <c r="O11" t="n">
        <v>12200</v>
      </c>
      <c r="P11" t="n">
        <v>12600</v>
      </c>
      <c r="Q11" t="n">
        <v>13200</v>
      </c>
      <c r="R11" t="n">
        <v>3.335191709778924</v>
      </c>
      <c r="S11" t="n">
        <v>3.324059494475769</v>
      </c>
      <c r="T11" t="n">
        <v>3.321399328740989</v>
      </c>
      <c r="U11" t="n">
        <v>3.317753067087283</v>
      </c>
      <c r="V11" t="n">
        <v>3.314465454120826</v>
      </c>
      <c r="W11" t="n">
        <v>3.312447659919191</v>
      </c>
      <c r="X11" t="n">
        <v>3.309650263412379</v>
      </c>
    </row>
    <row r="12">
      <c r="A12" t="inlineStr">
        <is>
          <t>100X15X12|16MM|NW|P3Y|HOLES|N/A</t>
        </is>
      </c>
      <c r="B12" t="inlineStr">
        <is>
          <t>GB-1001512-M003-08</t>
        </is>
      </c>
      <c r="C12" t="inlineStr">
        <is>
          <t>GB 100x15x12 16mm NW P3Y + HOLES</t>
        </is>
      </c>
      <c r="D12" t="n">
        <v>1.95</v>
      </c>
      <c r="E12" t="inlineStr">
        <is>
          <t>100X15X12</t>
        </is>
      </c>
      <c r="F12" t="inlineStr">
        <is>
          <t>16MM</t>
        </is>
      </c>
      <c r="G12" t="inlineStr">
        <is>
          <t>NW</t>
        </is>
      </c>
      <c r="H12" t="inlineStr">
        <is>
          <t>P3Y</t>
        </is>
      </c>
      <c r="I12" t="inlineStr">
        <is>
          <t>HOLES</t>
        </is>
      </c>
      <c r="J12" t="inlineStr">
        <is>
          <t>N/A</t>
        </is>
      </c>
      <c r="K12" t="n">
        <v>9200</v>
      </c>
      <c r="L12" t="n">
        <v>10600</v>
      </c>
      <c r="M12" t="n">
        <v>11000</v>
      </c>
      <c r="N12" t="n">
        <v>11600</v>
      </c>
      <c r="O12" t="n">
        <v>12200</v>
      </c>
      <c r="P12" t="n">
        <v>12600</v>
      </c>
      <c r="Q12" t="n">
        <v>13200</v>
      </c>
      <c r="R12" t="n">
        <v>3.413241019343499</v>
      </c>
      <c r="S12" t="n">
        <v>3.402108804040345</v>
      </c>
      <c r="T12" t="n">
        <v>3.399448638305565</v>
      </c>
      <c r="U12" t="n">
        <v>3.395802376651858</v>
      </c>
      <c r="V12" t="n">
        <v>3.392514763685402</v>
      </c>
      <c r="W12" t="n">
        <v>3.390496969483766</v>
      </c>
      <c r="X12" t="n">
        <v>3.387699572976954</v>
      </c>
    </row>
    <row r="13">
      <c r="A13" t="inlineStr">
        <is>
          <t>100X15X12|16MM|NW|P2Y|HOLES|BSU</t>
        </is>
      </c>
      <c r="B13" t="inlineStr">
        <is>
          <t>GB-1001512-M003-09</t>
        </is>
      </c>
      <c r="C13" t="inlineStr">
        <is>
          <t>GB 100x15x12 16mm NW BSU P2Y + HOLES</t>
        </is>
      </c>
      <c r="D13" t="n">
        <v>1.95</v>
      </c>
      <c r="E13" t="inlineStr">
        <is>
          <t>100X15X12</t>
        </is>
      </c>
      <c r="F13" t="inlineStr">
        <is>
          <t>16MM</t>
        </is>
      </c>
      <c r="G13" t="inlineStr">
        <is>
          <t>NW</t>
        </is>
      </c>
      <c r="H13" t="inlineStr">
        <is>
          <t>P2Y</t>
        </is>
      </c>
      <c r="I13" t="inlineStr">
        <is>
          <t>HOLES</t>
        </is>
      </c>
      <c r="J13" t="inlineStr">
        <is>
          <t>BSU</t>
        </is>
      </c>
      <c r="K13" t="n">
        <v>9200</v>
      </c>
      <c r="L13" t="n">
        <v>10600</v>
      </c>
      <c r="M13" t="n">
        <v>11000</v>
      </c>
      <c r="N13" t="n">
        <v>11600</v>
      </c>
      <c r="O13" t="n">
        <v>12200</v>
      </c>
      <c r="P13" t="n">
        <v>12600</v>
      </c>
      <c r="Q13" t="n">
        <v>13200</v>
      </c>
      <c r="R13" t="n">
        <v>3.335191709778924</v>
      </c>
      <c r="S13" t="n">
        <v>3.324059494475769</v>
      </c>
      <c r="T13" t="n">
        <v>3.321399328740989</v>
      </c>
      <c r="U13" t="n">
        <v>3.317753067087283</v>
      </c>
      <c r="V13" t="n">
        <v>3.314465454120826</v>
      </c>
      <c r="W13" t="n">
        <v>3.312447659919191</v>
      </c>
      <c r="X13" t="n">
        <v>3.309650263412379</v>
      </c>
    </row>
    <row r="14">
      <c r="A14" t="inlineStr">
        <is>
          <t>100X15X12|PRO 9010|NW|P1Y|HOLES|N/A</t>
        </is>
      </c>
      <c r="B14" t="inlineStr">
        <is>
          <t>GB-1001512-M101-01</t>
        </is>
      </c>
      <c r="C14" t="inlineStr">
        <is>
          <t>GB 100x15x12 PRO 9010 NW P1Y + HOLES</t>
        </is>
      </c>
      <c r="D14" t="n">
        <v>2.15</v>
      </c>
      <c r="E14" t="inlineStr">
        <is>
          <t>100X15X12</t>
        </is>
      </c>
      <c r="F14" t="inlineStr">
        <is>
          <t>PRO 9010</t>
        </is>
      </c>
      <c r="G14" t="inlineStr">
        <is>
          <t>NW</t>
        </is>
      </c>
      <c r="H14" t="inlineStr">
        <is>
          <t>P1Y</t>
        </is>
      </c>
      <c r="I14" t="inlineStr">
        <is>
          <t>HOLES</t>
        </is>
      </c>
      <c r="J14" t="inlineStr">
        <is>
          <t>N/A</t>
        </is>
      </c>
      <c r="K14" t="n">
        <v>8400</v>
      </c>
      <c r="L14" t="n">
        <v>9600</v>
      </c>
      <c r="M14" t="n">
        <v>10000</v>
      </c>
      <c r="N14" t="n">
        <v>10600</v>
      </c>
      <c r="O14" t="n">
        <v>11000</v>
      </c>
      <c r="P14" t="n">
        <v>11400</v>
      </c>
      <c r="Q14" t="n">
        <v>12000</v>
      </c>
      <c r="R14" t="n">
        <v>2.347994855867394</v>
      </c>
      <c r="S14" t="n">
        <v>2.336455595276794</v>
      </c>
      <c r="T14" t="n">
        <v>2.333224602311426</v>
      </c>
      <c r="U14" t="n">
        <v>2.328835328849039</v>
      </c>
      <c r="V14" t="n">
        <v>2.32617516311426</v>
      </c>
      <c r="W14" t="n">
        <v>2.323701675676658</v>
      </c>
      <c r="X14" t="n">
        <v>2.320300630449954</v>
      </c>
    </row>
    <row r="15">
      <c r="A15" t="inlineStr">
        <is>
          <t>100X15X12|PRO 8020|NW|P1Y|HOLES|N/A</t>
        </is>
      </c>
      <c r="B15" t="inlineStr">
        <is>
          <t>GB-1001512-M102-01</t>
        </is>
      </c>
      <c r="C15" t="inlineStr">
        <is>
          <t>GB 100x15x12 PRO 8020 NW P1Y + HOLES</t>
        </is>
      </c>
      <c r="D15" t="n">
        <v>2.1</v>
      </c>
      <c r="E15" t="inlineStr">
        <is>
          <t>100X15X12</t>
        </is>
      </c>
      <c r="F15" t="inlineStr">
        <is>
          <t>PRO 8020</t>
        </is>
      </c>
      <c r="G15" t="inlineStr">
        <is>
          <t>NW</t>
        </is>
      </c>
      <c r="H15" t="inlineStr">
        <is>
          <t>P1Y</t>
        </is>
      </c>
      <c r="I15" t="inlineStr">
        <is>
          <t>HOLES</t>
        </is>
      </c>
      <c r="J15" t="inlineStr">
        <is>
          <t>N/A</t>
        </is>
      </c>
      <c r="K15" t="n">
        <v>8600</v>
      </c>
      <c r="L15" t="n">
        <v>9800</v>
      </c>
      <c r="M15" t="n">
        <v>10200</v>
      </c>
      <c r="N15" t="n">
        <v>10800</v>
      </c>
      <c r="O15" t="n">
        <v>11200</v>
      </c>
      <c r="P15" t="n">
        <v>11800</v>
      </c>
      <c r="Q15" t="n">
        <v>12200</v>
      </c>
      <c r="R15" t="n">
        <v>2.440225143851213</v>
      </c>
      <c r="S15" t="n">
        <v>2.429184256641602</v>
      </c>
      <c r="T15" t="n">
        <v>2.426081262197071</v>
      </c>
      <c r="U15" t="n">
        <v>2.421857741980904</v>
      </c>
      <c r="V15" t="n">
        <v>2.41929346184966</v>
      </c>
      <c r="W15" t="n">
        <v>2.415773009466086</v>
      </c>
      <c r="X15" t="n">
        <v>2.413618415657561</v>
      </c>
    </row>
    <row r="16">
      <c r="A16" t="inlineStr">
        <is>
          <t>100X15X12|PRO 8020|NW|P1Y|HOLES|N/A</t>
        </is>
      </c>
      <c r="B16" t="inlineStr">
        <is>
          <t>GB-1001512-M102-03</t>
        </is>
      </c>
      <c r="C16" t="inlineStr">
        <is>
          <t>GB 100x15x12 PRO 8020 NW P1Y + HOLES</t>
        </is>
      </c>
      <c r="D16" t="n">
        <v>2.1</v>
      </c>
      <c r="E16" t="inlineStr">
        <is>
          <t>100X15X12</t>
        </is>
      </c>
      <c r="F16" t="inlineStr">
        <is>
          <t>PRO 8020</t>
        </is>
      </c>
      <c r="G16" t="inlineStr">
        <is>
          <t>NW</t>
        </is>
      </c>
      <c r="H16" t="inlineStr">
        <is>
          <t>P1Y</t>
        </is>
      </c>
      <c r="I16" t="inlineStr">
        <is>
          <t>HOLES</t>
        </is>
      </c>
      <c r="J16" t="inlineStr">
        <is>
          <t>N/A</t>
        </is>
      </c>
      <c r="K16" t="n">
        <v>8600</v>
      </c>
      <c r="L16" t="n">
        <v>9800</v>
      </c>
      <c r="M16" t="n">
        <v>10200</v>
      </c>
      <c r="N16" t="n">
        <v>10800</v>
      </c>
      <c r="O16" t="n">
        <v>11200</v>
      </c>
      <c r="P16" t="n">
        <v>11800</v>
      </c>
      <c r="Q16" t="n">
        <v>12200</v>
      </c>
      <c r="R16" t="n">
        <v>2.466358408600593</v>
      </c>
      <c r="S16" t="n">
        <v>2.455317521390982</v>
      </c>
      <c r="T16" t="n">
        <v>2.452214526946451</v>
      </c>
      <c r="U16" t="n">
        <v>2.447991006730284</v>
      </c>
      <c r="V16" t="n">
        <v>2.445426726599039</v>
      </c>
      <c r="W16" t="n">
        <v>2.441906274215467</v>
      </c>
      <c r="X16" t="n">
        <v>2.439751680406941</v>
      </c>
    </row>
    <row r="17">
      <c r="A17" t="inlineStr">
        <is>
          <t>100X15X12|PRO 8020|NW|P1Y|HOLES|N/A</t>
        </is>
      </c>
      <c r="B17" t="inlineStr">
        <is>
          <t>GB-1001512-M102-04</t>
        </is>
      </c>
      <c r="C17" t="inlineStr">
        <is>
          <t>GB 100x15x12 PRO 8020 NW P1Y + HOLES</t>
        </is>
      </c>
      <c r="D17" t="n">
        <v>2.1</v>
      </c>
      <c r="E17" t="inlineStr">
        <is>
          <t>100X15X12</t>
        </is>
      </c>
      <c r="F17" t="inlineStr">
        <is>
          <t>PRO 8020</t>
        </is>
      </c>
      <c r="G17" t="inlineStr">
        <is>
          <t>NW</t>
        </is>
      </c>
      <c r="H17" t="inlineStr">
        <is>
          <t>P1Y</t>
        </is>
      </c>
      <c r="I17" t="inlineStr">
        <is>
          <t>HOLES</t>
        </is>
      </c>
      <c r="J17" t="inlineStr">
        <is>
          <t>N/A</t>
        </is>
      </c>
      <c r="K17" t="n">
        <v>8600</v>
      </c>
      <c r="L17" t="n">
        <v>9800</v>
      </c>
      <c r="M17" t="n">
        <v>10200</v>
      </c>
      <c r="N17" t="n">
        <v>10800</v>
      </c>
      <c r="O17" t="n">
        <v>11200</v>
      </c>
      <c r="P17" t="n">
        <v>11800</v>
      </c>
      <c r="Q17" t="n">
        <v>12200</v>
      </c>
      <c r="R17" t="n">
        <v>2.466358408600593</v>
      </c>
      <c r="S17" t="n">
        <v>2.455317521390982</v>
      </c>
      <c r="T17" t="n">
        <v>2.452214526946451</v>
      </c>
      <c r="U17" t="n">
        <v>2.447991006730284</v>
      </c>
      <c r="V17" t="n">
        <v>2.445426726599039</v>
      </c>
      <c r="W17" t="n">
        <v>2.441906274215467</v>
      </c>
      <c r="X17" t="n">
        <v>2.439751680406941</v>
      </c>
    </row>
    <row r="18">
      <c r="A18" t="inlineStr">
        <is>
          <t>100X15X12|PRO 8020|NW|P1Y|N/A|N/A</t>
        </is>
      </c>
      <c r="B18" t="inlineStr">
        <is>
          <t>GB-1001512-M102-05</t>
        </is>
      </c>
      <c r="C18" t="inlineStr">
        <is>
          <t>GB 100x15x12 PRO 8020 NW P1Y</t>
        </is>
      </c>
      <c r="D18" t="n">
        <v>2.1</v>
      </c>
      <c r="E18" t="inlineStr">
        <is>
          <t>100X15X12</t>
        </is>
      </c>
      <c r="F18" t="inlineStr">
        <is>
          <t>PRO 8020</t>
        </is>
      </c>
      <c r="G18" t="inlineStr">
        <is>
          <t>NW</t>
        </is>
      </c>
      <c r="H18" t="inlineStr">
        <is>
          <t>P1Y</t>
        </is>
      </c>
      <c r="I18" t="inlineStr">
        <is>
          <t>N/A</t>
        </is>
      </c>
      <c r="J18" t="inlineStr">
        <is>
          <t>N/A</t>
        </is>
      </c>
      <c r="K18" t="n">
        <v>8600</v>
      </c>
      <c r="L18" t="n">
        <v>9800</v>
      </c>
      <c r="M18" t="n">
        <v>10200</v>
      </c>
      <c r="N18" t="n">
        <v>10800</v>
      </c>
      <c r="O18" t="n">
        <v>11200</v>
      </c>
      <c r="P18" t="n">
        <v>11800</v>
      </c>
      <c r="Q18" t="n">
        <v>12200</v>
      </c>
      <c r="R18" t="n">
        <v>2.466358408600593</v>
      </c>
      <c r="S18" t="n">
        <v>2.455317521390982</v>
      </c>
      <c r="T18" t="n">
        <v>2.452214526946451</v>
      </c>
      <c r="U18" t="n">
        <v>2.447991006730284</v>
      </c>
      <c r="V18" t="n">
        <v>2.445426726599039</v>
      </c>
      <c r="W18" t="n">
        <v>2.441906274215467</v>
      </c>
      <c r="X18" t="n">
        <v>2.439751680406941</v>
      </c>
    </row>
    <row r="19">
      <c r="A19" t="inlineStr">
        <is>
          <t>100X15X12|PRO 7030|NW|P1Y|HOLES|N/A</t>
        </is>
      </c>
      <c r="B19" t="inlineStr">
        <is>
          <t>GB-1001512-M103-02</t>
        </is>
      </c>
      <c r="C19" t="inlineStr">
        <is>
          <t>GB 100x15x12 PRO 7030 NW P1Y + HOLES</t>
        </is>
      </c>
      <c r="D19" t="n">
        <v>2.1</v>
      </c>
      <c r="E19" t="inlineStr">
        <is>
          <t>100X15X12</t>
        </is>
      </c>
      <c r="F19" t="inlineStr">
        <is>
          <t>PRO 7030</t>
        </is>
      </c>
      <c r="G19" t="inlineStr">
        <is>
          <t>NW</t>
        </is>
      </c>
      <c r="H19" t="inlineStr">
        <is>
          <t>P1Y</t>
        </is>
      </c>
      <c r="I19" t="inlineStr">
        <is>
          <t>HOLES</t>
        </is>
      </c>
      <c r="J19" t="inlineStr">
        <is>
          <t>N/A</t>
        </is>
      </c>
      <c r="K19" t="n">
        <v>8600</v>
      </c>
      <c r="L19" t="n">
        <v>9800</v>
      </c>
      <c r="M19" t="n">
        <v>10200</v>
      </c>
      <c r="N19" t="n">
        <v>10800</v>
      </c>
      <c r="O19" t="n">
        <v>11200</v>
      </c>
      <c r="P19" t="n">
        <v>11800</v>
      </c>
      <c r="Q19" t="n">
        <v>12200</v>
      </c>
      <c r="R19" t="n">
        <v>2.599552302732447</v>
      </c>
      <c r="S19" t="n">
        <v>2.588511415522837</v>
      </c>
      <c r="T19" t="n">
        <v>2.585408421078305</v>
      </c>
      <c r="U19" t="n">
        <v>2.581184900862138</v>
      </c>
      <c r="V19" t="n">
        <v>2.578620620730893</v>
      </c>
      <c r="W19" t="n">
        <v>2.57510016834732</v>
      </c>
      <c r="X19" t="n">
        <v>2.572945574538795</v>
      </c>
    </row>
    <row r="20">
      <c r="A20" t="inlineStr">
        <is>
          <t>100X15X12|PRO 7030|NW|P1Y|HOLES|N/A</t>
        </is>
      </c>
      <c r="B20" t="inlineStr">
        <is>
          <t>GB-1001512-M103-05</t>
        </is>
      </c>
      <c r="C20" t="inlineStr">
        <is>
          <t>GB 100x15x12 PRO 7030 NW P1Y + HOLES</t>
        </is>
      </c>
      <c r="D20" t="n">
        <v>2.1</v>
      </c>
      <c r="E20" t="inlineStr">
        <is>
          <t>100X15X12</t>
        </is>
      </c>
      <c r="F20" t="inlineStr">
        <is>
          <t>PRO 7030</t>
        </is>
      </c>
      <c r="G20" t="inlineStr">
        <is>
          <t>NW</t>
        </is>
      </c>
      <c r="H20" t="inlineStr">
        <is>
          <t>P1Y</t>
        </is>
      </c>
      <c r="I20" t="inlineStr">
        <is>
          <t>HOLES</t>
        </is>
      </c>
      <c r="J20" t="inlineStr">
        <is>
          <t>N/A</t>
        </is>
      </c>
      <c r="K20" t="n">
        <v>8600</v>
      </c>
      <c r="L20" t="n">
        <v>9800</v>
      </c>
      <c r="M20" t="n">
        <v>10200</v>
      </c>
      <c r="N20" t="n">
        <v>10800</v>
      </c>
      <c r="O20" t="n">
        <v>11200</v>
      </c>
      <c r="P20" t="n">
        <v>11800</v>
      </c>
      <c r="Q20" t="n">
        <v>12200</v>
      </c>
      <c r="R20" t="n">
        <v>2.594530738248193</v>
      </c>
      <c r="S20" t="n">
        <v>2.583489851038582</v>
      </c>
      <c r="T20" t="n">
        <v>2.580386856594051</v>
      </c>
      <c r="U20" t="n">
        <v>2.576163336377884</v>
      </c>
      <c r="V20" t="n">
        <v>2.57359905624664</v>
      </c>
      <c r="W20" t="n">
        <v>2.570078603863067</v>
      </c>
      <c r="X20" t="n">
        <v>2.567924010054541</v>
      </c>
    </row>
    <row r="21">
      <c r="A21" t="inlineStr">
        <is>
          <t>100X15X12|PRO 7030|NW|P2Y|N/A|N/A</t>
        </is>
      </c>
      <c r="B21" t="inlineStr">
        <is>
          <t>GB-1001512-M103-07</t>
        </is>
      </c>
      <c r="C21" t="inlineStr">
        <is>
          <t>GB 100x15x12 PRO 7030 NW P2Y</t>
        </is>
      </c>
      <c r="D21" t="n">
        <v>2.1</v>
      </c>
      <c r="E21" t="inlineStr">
        <is>
          <t>100X15X12</t>
        </is>
      </c>
      <c r="F21" t="inlineStr">
        <is>
          <t>PRO 7030</t>
        </is>
      </c>
      <c r="G21" t="inlineStr">
        <is>
          <t>NW</t>
        </is>
      </c>
      <c r="H21" t="inlineStr">
        <is>
          <t>P2Y</t>
        </is>
      </c>
      <c r="I21" t="inlineStr">
        <is>
          <t>N/A</t>
        </is>
      </c>
      <c r="J21" t="inlineStr">
        <is>
          <t>N/A</t>
        </is>
      </c>
      <c r="K21" t="n">
        <v>8600</v>
      </c>
      <c r="L21" t="n">
        <v>9800</v>
      </c>
      <c r="M21" t="n">
        <v>10200</v>
      </c>
      <c r="N21" t="n">
        <v>10800</v>
      </c>
      <c r="O21" t="n">
        <v>11200</v>
      </c>
      <c r="P21" t="n">
        <v>11800</v>
      </c>
      <c r="Q21" t="n">
        <v>12200</v>
      </c>
      <c r="R21" t="n">
        <v>2.633670851884556</v>
      </c>
      <c r="S21" t="n">
        <v>2.622629964674946</v>
      </c>
      <c r="T21" t="n">
        <v>2.619526970230415</v>
      </c>
      <c r="U21" t="n">
        <v>2.615303450014247</v>
      </c>
      <c r="V21" t="n">
        <v>2.612739169883003</v>
      </c>
      <c r="W21" t="n">
        <v>2.60921871749943</v>
      </c>
      <c r="X21" t="n">
        <v>2.607064123690904</v>
      </c>
    </row>
    <row r="22">
      <c r="A22" t="inlineStr">
        <is>
          <t>100X15X12|PRO 7030|NW|P2Y|HOLES|N/A</t>
        </is>
      </c>
      <c r="B22" t="inlineStr">
        <is>
          <t>GB-1001512-M103-11</t>
        </is>
      </c>
      <c r="C22" t="inlineStr">
        <is>
          <t>GB 100x15x12 PRO 7030 NW P2Y  + HOLES</t>
        </is>
      </c>
      <c r="D22" t="n">
        <v>2.1</v>
      </c>
      <c r="E22" t="inlineStr">
        <is>
          <t>100X15X12</t>
        </is>
      </c>
      <c r="F22" t="inlineStr">
        <is>
          <t>PRO 7030</t>
        </is>
      </c>
      <c r="G22" t="inlineStr">
        <is>
          <t>NW</t>
        </is>
      </c>
      <c r="H22" t="inlineStr">
        <is>
          <t>P2Y</t>
        </is>
      </c>
      <c r="I22" t="inlineStr">
        <is>
          <t>HOLES</t>
        </is>
      </c>
      <c r="J22" t="inlineStr">
        <is>
          <t>N/A</t>
        </is>
      </c>
      <c r="K22" t="n">
        <v>8600</v>
      </c>
      <c r="L22" t="n">
        <v>9800</v>
      </c>
      <c r="M22" t="n">
        <v>10200</v>
      </c>
      <c r="N22" t="n">
        <v>10800</v>
      </c>
      <c r="O22" t="n">
        <v>11200</v>
      </c>
      <c r="P22" t="n">
        <v>11800</v>
      </c>
      <c r="Q22" t="n">
        <v>12200</v>
      </c>
      <c r="R22" t="n">
        <v>2.633670851884556</v>
      </c>
      <c r="S22" t="n">
        <v>2.622629964674946</v>
      </c>
      <c r="T22" t="n">
        <v>2.619526970230415</v>
      </c>
      <c r="U22" t="n">
        <v>2.615303450014247</v>
      </c>
      <c r="V22" t="n">
        <v>2.612739169883003</v>
      </c>
      <c r="W22" t="n">
        <v>2.60921871749943</v>
      </c>
      <c r="X22" t="n">
        <v>2.607064123690904</v>
      </c>
    </row>
    <row r="23">
      <c r="A23" t="inlineStr">
        <is>
          <t>100X15X12|PRO 7030|NW|P1Y|N/A|N/A</t>
        </is>
      </c>
      <c r="B23" t="inlineStr">
        <is>
          <t>GB-1001512-M103-12</t>
        </is>
      </c>
      <c r="C23" t="inlineStr">
        <is>
          <t>GB 100x15x12 PRO 7030 NW P1Y</t>
        </is>
      </c>
      <c r="D23" t="n">
        <v>2.1</v>
      </c>
      <c r="E23" t="inlineStr">
        <is>
          <t>100X15X12</t>
        </is>
      </c>
      <c r="F23" t="inlineStr">
        <is>
          <t>PRO 7030</t>
        </is>
      </c>
      <c r="G23" t="inlineStr">
        <is>
          <t>NW</t>
        </is>
      </c>
      <c r="H23" t="inlineStr">
        <is>
          <t>P1Y</t>
        </is>
      </c>
      <c r="I23" t="inlineStr">
        <is>
          <t>N/A</t>
        </is>
      </c>
      <c r="J23" t="inlineStr">
        <is>
          <t>N/A</t>
        </is>
      </c>
      <c r="K23" t="n">
        <v>8600</v>
      </c>
      <c r="L23" t="n">
        <v>9800</v>
      </c>
      <c r="M23" t="n">
        <v>10200</v>
      </c>
      <c r="N23" t="n">
        <v>10800</v>
      </c>
      <c r="O23" t="n">
        <v>11200</v>
      </c>
      <c r="P23" t="n">
        <v>11800</v>
      </c>
      <c r="Q23" t="n">
        <v>12200</v>
      </c>
      <c r="R23" t="n">
        <v>2.594530738248192</v>
      </c>
      <c r="S23" t="n">
        <v>2.583489851038582</v>
      </c>
      <c r="T23" t="n">
        <v>2.580386856594051</v>
      </c>
      <c r="U23" t="n">
        <v>2.576163336377884</v>
      </c>
      <c r="V23" t="n">
        <v>2.573599056246639</v>
      </c>
      <c r="W23" t="n">
        <v>2.570078603863066</v>
      </c>
      <c r="X23" t="n">
        <v>2.567924010054541</v>
      </c>
    </row>
    <row r="24">
      <c r="A24" t="inlineStr">
        <is>
          <t>100X15X12|PRO 6040|NW|P2Y|HOLES|N/A</t>
        </is>
      </c>
      <c r="B24" t="inlineStr">
        <is>
          <t>GB-1001512-M104-01</t>
        </is>
      </c>
      <c r="C24" t="inlineStr">
        <is>
          <t>GB 100x15x12 PRO 6040 NW P2Y + HOLES</t>
        </is>
      </c>
      <c r="D24" t="n">
        <v>2.05</v>
      </c>
      <c r="E24" t="inlineStr">
        <is>
          <t>100X15X12</t>
        </is>
      </c>
      <c r="F24" t="inlineStr">
        <is>
          <t>PRO 6040</t>
        </is>
      </c>
      <c r="G24" t="inlineStr">
        <is>
          <t>NW</t>
        </is>
      </c>
      <c r="H24" t="inlineStr">
        <is>
          <t>P2Y</t>
        </is>
      </c>
      <c r="I24" t="inlineStr">
        <is>
          <t>HOLES</t>
        </is>
      </c>
      <c r="J24" t="inlineStr">
        <is>
          <t>N/A</t>
        </is>
      </c>
      <c r="K24" t="n">
        <v>8800</v>
      </c>
      <c r="L24" t="n">
        <v>10000</v>
      </c>
      <c r="M24" t="n">
        <v>10600</v>
      </c>
      <c r="N24" t="n">
        <v>11000</v>
      </c>
      <c r="O24" t="n">
        <v>11600</v>
      </c>
      <c r="P24" t="n">
        <v>12000</v>
      </c>
      <c r="Q24" t="n">
        <v>12400</v>
      </c>
      <c r="R24" t="n">
        <v>2.715433119832291</v>
      </c>
      <c r="S24" t="n">
        <v>2.704858961036541</v>
      </c>
      <c r="T24" t="n">
        <v>2.700469687574155</v>
      </c>
      <c r="U24" t="n">
        <v>2.697809521839374</v>
      </c>
      <c r="V24" t="n">
        <v>2.694163260185668</v>
      </c>
      <c r="W24" t="n">
        <v>2.691934989175069</v>
      </c>
      <c r="X24" t="n">
        <v>2.689850477584509</v>
      </c>
    </row>
    <row r="25">
      <c r="A25" t="inlineStr">
        <is>
          <t>100X15X12|PRO 6040|NW|P2Y|HOLES|BSU</t>
        </is>
      </c>
      <c r="B25" t="inlineStr">
        <is>
          <t>GB-1001512-M104-10</t>
        </is>
      </c>
      <c r="C25" t="inlineStr">
        <is>
          <t>GB 100x15x12 PRO 6040 NW BSU P2Y + HOLES</t>
        </is>
      </c>
      <c r="D25" t="n">
        <v>2.05</v>
      </c>
      <c r="E25" t="inlineStr">
        <is>
          <t>100X15X12</t>
        </is>
      </c>
      <c r="F25" t="inlineStr">
        <is>
          <t>PRO 6040</t>
        </is>
      </c>
      <c r="G25" t="inlineStr">
        <is>
          <t>NW</t>
        </is>
      </c>
      <c r="H25" t="inlineStr">
        <is>
          <t>P2Y</t>
        </is>
      </c>
      <c r="I25" t="inlineStr">
        <is>
          <t>HOLES</t>
        </is>
      </c>
      <c r="J25" t="inlineStr">
        <is>
          <t>BSU</t>
        </is>
      </c>
      <c r="K25" t="n">
        <v>8800</v>
      </c>
      <c r="L25" t="n">
        <v>10000</v>
      </c>
      <c r="M25" t="n">
        <v>10600</v>
      </c>
      <c r="N25" t="n">
        <v>11000</v>
      </c>
      <c r="O25" t="n">
        <v>11600</v>
      </c>
      <c r="P25" t="n">
        <v>12000</v>
      </c>
      <c r="Q25" t="n">
        <v>12400</v>
      </c>
      <c r="R25" t="n">
        <v>2.715433119832291</v>
      </c>
      <c r="S25" t="n">
        <v>2.704858961036541</v>
      </c>
      <c r="T25" t="n">
        <v>2.700469687574155</v>
      </c>
      <c r="U25" t="n">
        <v>2.697809521839374</v>
      </c>
      <c r="V25" t="n">
        <v>2.694163260185668</v>
      </c>
      <c r="W25" t="n">
        <v>2.691934989175069</v>
      </c>
      <c r="X25" t="n">
        <v>2.689850477584509</v>
      </c>
    </row>
    <row r="26">
      <c r="A26" t="inlineStr">
        <is>
          <t>100X15X12|PRO 5050|NW|P1Y|HOLES|N/A</t>
        </is>
      </c>
      <c r="B26" t="inlineStr">
        <is>
          <t>GB-1001512-M105-01</t>
        </is>
      </c>
      <c r="C26" t="inlineStr">
        <is>
          <t>GB 100x15x12 PRO 5050 NW P1Y + HOLES</t>
        </is>
      </c>
      <c r="D26" t="n">
        <v>2.05</v>
      </c>
      <c r="E26" t="inlineStr">
        <is>
          <t>100X15X12</t>
        </is>
      </c>
      <c r="F26" t="inlineStr">
        <is>
          <t>PRO 5050</t>
        </is>
      </c>
      <c r="G26" t="inlineStr">
        <is>
          <t>NW</t>
        </is>
      </c>
      <c r="H26" t="inlineStr">
        <is>
          <t>P1Y</t>
        </is>
      </c>
      <c r="I26" t="inlineStr">
        <is>
          <t>HOLES</t>
        </is>
      </c>
      <c r="J26" t="inlineStr">
        <is>
          <t>N/A</t>
        </is>
      </c>
      <c r="K26" t="n">
        <v>8800</v>
      </c>
      <c r="L26" t="n">
        <v>10000</v>
      </c>
      <c r="M26" t="n">
        <v>10600</v>
      </c>
      <c r="N26" t="n">
        <v>11000</v>
      </c>
      <c r="O26" t="n">
        <v>11600</v>
      </c>
      <c r="P26" t="n">
        <v>12000</v>
      </c>
      <c r="Q26" t="n">
        <v>12400</v>
      </c>
      <c r="R26" t="n">
        <v>2.796060417215491</v>
      </c>
      <c r="S26" t="n">
        <v>2.785486258419741</v>
      </c>
      <c r="T26" t="n">
        <v>2.781096984957355</v>
      </c>
      <c r="U26" t="n">
        <v>2.778436819222575</v>
      </c>
      <c r="V26" t="n">
        <v>2.774790557568868</v>
      </c>
      <c r="W26" t="n">
        <v>2.772562286558269</v>
      </c>
      <c r="X26" t="n">
        <v>2.77047777496771</v>
      </c>
    </row>
    <row r="27">
      <c r="A27" t="inlineStr">
        <is>
          <t>100X15X12|PRO 5050|NW|P1Y|HOLES|N/A</t>
        </is>
      </c>
      <c r="B27" t="inlineStr">
        <is>
          <t>GB-1001512-M105-05</t>
        </is>
      </c>
      <c r="C27" t="inlineStr">
        <is>
          <t>GB 100x15x12 PRO 5050 NW P1Y + HOLES</t>
        </is>
      </c>
      <c r="D27" t="n">
        <v>2.05</v>
      </c>
      <c r="E27" t="inlineStr">
        <is>
          <t>100X15X12</t>
        </is>
      </c>
      <c r="F27" t="inlineStr">
        <is>
          <t>PRO 5050</t>
        </is>
      </c>
      <c r="G27" t="inlineStr">
        <is>
          <t>NW</t>
        </is>
      </c>
      <c r="H27" t="inlineStr">
        <is>
          <t>P1Y</t>
        </is>
      </c>
      <c r="I27" t="inlineStr">
        <is>
          <t>HOLES</t>
        </is>
      </c>
      <c r="J27" t="inlineStr">
        <is>
          <t>N/A</t>
        </is>
      </c>
      <c r="K27" t="n">
        <v>8800</v>
      </c>
      <c r="L27" t="n">
        <v>10000</v>
      </c>
      <c r="M27" t="n">
        <v>10600</v>
      </c>
      <c r="N27" t="n">
        <v>11000</v>
      </c>
      <c r="O27" t="n">
        <v>11600</v>
      </c>
      <c r="P27" t="n">
        <v>12000</v>
      </c>
      <c r="Q27" t="n">
        <v>12400</v>
      </c>
      <c r="R27" t="n">
        <v>2.796060417215491</v>
      </c>
      <c r="S27" t="n">
        <v>2.785486258419741</v>
      </c>
      <c r="T27" t="n">
        <v>2.781096984957355</v>
      </c>
      <c r="U27" t="n">
        <v>2.778436819222575</v>
      </c>
      <c r="V27" t="n">
        <v>2.774790557568868</v>
      </c>
      <c r="W27" t="n">
        <v>2.772562286558269</v>
      </c>
      <c r="X27" t="n">
        <v>2.77047777496771</v>
      </c>
    </row>
    <row r="28">
      <c r="A28" t="inlineStr">
        <is>
          <t>100X15X12|PRO 5050|NW|P1Y|N/A|N/A</t>
        </is>
      </c>
      <c r="B28" t="inlineStr">
        <is>
          <t>GB-1001512-M105-06</t>
        </is>
      </c>
      <c r="C28" t="inlineStr">
        <is>
          <t>GB 100x15x12 PRO 5050 NW P1Y</t>
        </is>
      </c>
      <c r="D28" t="n">
        <v>2.05</v>
      </c>
      <c r="E28" t="inlineStr">
        <is>
          <t>100X15X12</t>
        </is>
      </c>
      <c r="F28" t="inlineStr">
        <is>
          <t>PRO 5050</t>
        </is>
      </c>
      <c r="G28" t="inlineStr">
        <is>
          <t>NW</t>
        </is>
      </c>
      <c r="H28" t="inlineStr">
        <is>
          <t>P1Y</t>
        </is>
      </c>
      <c r="I28" t="inlineStr">
        <is>
          <t>N/A</t>
        </is>
      </c>
      <c r="J28" t="inlineStr">
        <is>
          <t>N/A</t>
        </is>
      </c>
      <c r="K28" t="n">
        <v>8800</v>
      </c>
      <c r="L28" t="n">
        <v>10000</v>
      </c>
      <c r="M28" t="n">
        <v>10600</v>
      </c>
      <c r="N28" t="n">
        <v>11000</v>
      </c>
      <c r="O28" t="n">
        <v>11600</v>
      </c>
      <c r="P28" t="n">
        <v>12000</v>
      </c>
      <c r="Q28" t="n">
        <v>12400</v>
      </c>
      <c r="R28" t="n">
        <v>2.796060417215491</v>
      </c>
      <c r="S28" t="n">
        <v>2.785486258419741</v>
      </c>
      <c r="T28" t="n">
        <v>2.781096984957355</v>
      </c>
      <c r="U28" t="n">
        <v>2.778436819222575</v>
      </c>
      <c r="V28" t="n">
        <v>2.774790557568868</v>
      </c>
      <c r="W28" t="n">
        <v>2.772562286558269</v>
      </c>
      <c r="X28" t="n">
        <v>2.77047777496771</v>
      </c>
    </row>
    <row r="29">
      <c r="A29" t="inlineStr">
        <is>
          <t>100X15X12|PRO 5050|NW|P2Y|HOLES|N/A</t>
        </is>
      </c>
      <c r="B29" t="inlineStr">
        <is>
          <t>GB-1001512-M105-08</t>
        </is>
      </c>
      <c r="C29" t="inlineStr">
        <is>
          <t>GB 100x15x12 PRO 5050 NW P2Y + HOLES</t>
        </is>
      </c>
      <c r="D29" t="n">
        <v>2.05</v>
      </c>
      <c r="E29" t="inlineStr">
        <is>
          <t>100X15X12</t>
        </is>
      </c>
      <c r="F29" t="inlineStr">
        <is>
          <t>PRO 5050</t>
        </is>
      </c>
      <c r="G29" t="inlineStr">
        <is>
          <t>NW</t>
        </is>
      </c>
      <c r="H29" t="inlineStr">
        <is>
          <t>P2Y</t>
        </is>
      </c>
      <c r="I29" t="inlineStr">
        <is>
          <t>HOLES</t>
        </is>
      </c>
      <c r="J29" t="inlineStr">
        <is>
          <t>N/A</t>
        </is>
      </c>
      <c r="K29" t="n">
        <v>8800</v>
      </c>
      <c r="L29" t="n">
        <v>10000</v>
      </c>
      <c r="M29" t="n">
        <v>10600</v>
      </c>
      <c r="N29" t="n">
        <v>11000</v>
      </c>
      <c r="O29" t="n">
        <v>11600</v>
      </c>
      <c r="P29" t="n">
        <v>12000</v>
      </c>
      <c r="Q29" t="n">
        <v>12400</v>
      </c>
      <c r="R29" t="n">
        <v>2.835200530851855</v>
      </c>
      <c r="S29" t="n">
        <v>2.824626372056106</v>
      </c>
      <c r="T29" t="n">
        <v>2.820237098593719</v>
      </c>
      <c r="U29" t="n">
        <v>2.817576932858939</v>
      </c>
      <c r="V29" t="n">
        <v>2.813930671205232</v>
      </c>
      <c r="W29" t="n">
        <v>2.811702400194634</v>
      </c>
      <c r="X29" t="n">
        <v>2.809617888604074</v>
      </c>
    </row>
    <row r="30">
      <c r="A30" t="inlineStr">
        <is>
          <t>100X15X12|PRO 5050|NW|P3Y|HOLES|N/A</t>
        </is>
      </c>
      <c r="B30" t="inlineStr">
        <is>
          <t>GB-1001512-M105-11</t>
        </is>
      </c>
      <c r="C30" t="inlineStr">
        <is>
          <t>GB 100x15x12 PRO 5050 NW P3Y + HOLES</t>
        </is>
      </c>
      <c r="D30" t="n">
        <v>2.05</v>
      </c>
      <c r="E30" t="inlineStr">
        <is>
          <t>100X15X12</t>
        </is>
      </c>
      <c r="F30" t="inlineStr">
        <is>
          <t>PRO 5050</t>
        </is>
      </c>
      <c r="G30" t="inlineStr">
        <is>
          <t>NW</t>
        </is>
      </c>
      <c r="H30" t="inlineStr">
        <is>
          <t>P3Y</t>
        </is>
      </c>
      <c r="I30" t="inlineStr">
        <is>
          <t>HOLES</t>
        </is>
      </c>
      <c r="J30" t="inlineStr">
        <is>
          <t>N/A</t>
        </is>
      </c>
      <c r="K30" t="n">
        <v>8800</v>
      </c>
      <c r="L30" t="n">
        <v>10000</v>
      </c>
      <c r="M30" t="n">
        <v>10600</v>
      </c>
      <c r="N30" t="n">
        <v>11000</v>
      </c>
      <c r="O30" t="n">
        <v>11600</v>
      </c>
      <c r="P30" t="n">
        <v>12000</v>
      </c>
      <c r="Q30" t="n">
        <v>12400</v>
      </c>
      <c r="R30" t="n">
        <v>2.913480758124582</v>
      </c>
      <c r="S30" t="n">
        <v>2.902906599328833</v>
      </c>
      <c r="T30" t="n">
        <v>2.898517325866446</v>
      </c>
      <c r="U30" t="n">
        <v>2.895857160131666</v>
      </c>
      <c r="V30" t="n">
        <v>2.892210898477959</v>
      </c>
      <c r="W30" t="n">
        <v>2.889982627467361</v>
      </c>
      <c r="X30" t="n">
        <v>2.887898115876801</v>
      </c>
    </row>
    <row r="31">
      <c r="A31" t="inlineStr">
        <is>
          <t>100X15X12|PRO 5050|NW|P2Y|N/A|N/A</t>
        </is>
      </c>
      <c r="B31" t="inlineStr">
        <is>
          <t>GB-1001512-M105-12</t>
        </is>
      </c>
      <c r="C31" t="inlineStr">
        <is>
          <t>GB 100x15x12 PRO 5050 NW P2Y</t>
        </is>
      </c>
      <c r="D31" t="n">
        <v>2.05</v>
      </c>
      <c r="E31" t="inlineStr">
        <is>
          <t>100X15X12</t>
        </is>
      </c>
      <c r="F31" t="inlineStr">
        <is>
          <t>PRO 5050</t>
        </is>
      </c>
      <c r="G31" t="inlineStr">
        <is>
          <t>NW</t>
        </is>
      </c>
      <c r="H31" t="inlineStr">
        <is>
          <t>P2Y</t>
        </is>
      </c>
      <c r="I31" t="inlineStr">
        <is>
          <t>N/A</t>
        </is>
      </c>
      <c r="J31" t="inlineStr">
        <is>
          <t>N/A</t>
        </is>
      </c>
      <c r="K31" t="n">
        <v>8800</v>
      </c>
      <c r="L31" t="n">
        <v>10000</v>
      </c>
      <c r="M31" t="n">
        <v>10600</v>
      </c>
      <c r="N31" t="n">
        <v>11000</v>
      </c>
      <c r="O31" t="n">
        <v>11600</v>
      </c>
      <c r="P31" t="n">
        <v>12000</v>
      </c>
      <c r="Q31" t="n">
        <v>12400</v>
      </c>
      <c r="R31" t="n">
        <v>2.835200530851855</v>
      </c>
      <c r="S31" t="n">
        <v>2.824626372056106</v>
      </c>
      <c r="T31" t="n">
        <v>2.820237098593719</v>
      </c>
      <c r="U31" t="n">
        <v>2.817576932858939</v>
      </c>
      <c r="V31" t="n">
        <v>2.813930671205232</v>
      </c>
      <c r="W31" t="n">
        <v>2.811702400194634</v>
      </c>
      <c r="X31" t="n">
        <v>2.809617888604074</v>
      </c>
    </row>
    <row r="32">
      <c r="A32" t="inlineStr">
        <is>
          <t>100X15X12|PRO 5050|NW|P2Y|HOLES|N/A</t>
        </is>
      </c>
      <c r="B32" t="inlineStr">
        <is>
          <t>GB-1001512-M105-13</t>
        </is>
      </c>
      <c r="C32" t="inlineStr">
        <is>
          <t>GB 100x15x12 PRO 5050 NW P2Y + HOLES</t>
        </is>
      </c>
      <c r="D32" t="n">
        <v>2.05</v>
      </c>
      <c r="E32" t="inlineStr">
        <is>
          <t>100X15X12</t>
        </is>
      </c>
      <c r="F32" t="inlineStr">
        <is>
          <t>PRO 5050</t>
        </is>
      </c>
      <c r="G32" t="inlineStr">
        <is>
          <t>NW</t>
        </is>
      </c>
      <c r="H32" t="inlineStr">
        <is>
          <t>P2Y</t>
        </is>
      </c>
      <c r="I32" t="inlineStr">
        <is>
          <t>HOLES</t>
        </is>
      </c>
      <c r="J32" t="inlineStr">
        <is>
          <t>N/A</t>
        </is>
      </c>
      <c r="K32" t="n">
        <v>8800</v>
      </c>
      <c r="L32" t="n">
        <v>10000</v>
      </c>
      <c r="M32" t="n">
        <v>10600</v>
      </c>
      <c r="N32" t="n">
        <v>11000</v>
      </c>
      <c r="O32" t="n">
        <v>11600</v>
      </c>
      <c r="P32" t="n">
        <v>12000</v>
      </c>
      <c r="Q32" t="n">
        <v>12400</v>
      </c>
      <c r="R32" t="n">
        <v>2.835200530851855</v>
      </c>
      <c r="S32" t="n">
        <v>2.824626372056106</v>
      </c>
      <c r="T32" t="n">
        <v>2.820237098593719</v>
      </c>
      <c r="U32" t="n">
        <v>2.817576932858939</v>
      </c>
      <c r="V32" t="n">
        <v>2.813930671205232</v>
      </c>
      <c r="W32" t="n">
        <v>2.811702400194634</v>
      </c>
      <c r="X32" t="n">
        <v>2.809617888604074</v>
      </c>
    </row>
    <row r="33">
      <c r="A33" t="inlineStr">
        <is>
          <t>100X15X12|PRO 4060|NW|P2Y|HOLES|N/A</t>
        </is>
      </c>
      <c r="B33" t="inlineStr">
        <is>
          <t>GB-1001512-M106-01</t>
        </is>
      </c>
      <c r="C33" t="inlineStr">
        <is>
          <t>GB 100x15x12 PRO 4060 NW P2Y + HOLES</t>
        </is>
      </c>
      <c r="D33" t="n">
        <v>2.05</v>
      </c>
      <c r="E33" t="inlineStr">
        <is>
          <t>100X15X12</t>
        </is>
      </c>
      <c r="F33" t="inlineStr">
        <is>
          <t>PRO 4060</t>
        </is>
      </c>
      <c r="G33" t="inlineStr">
        <is>
          <t>NW</t>
        </is>
      </c>
      <c r="H33" t="inlineStr">
        <is>
          <t>P2Y</t>
        </is>
      </c>
      <c r="I33" t="inlineStr">
        <is>
          <t>HOLES</t>
        </is>
      </c>
      <c r="J33" t="inlineStr">
        <is>
          <t>N/A</t>
        </is>
      </c>
      <c r="K33" t="n">
        <v>8800</v>
      </c>
      <c r="L33" t="n">
        <v>10000</v>
      </c>
      <c r="M33" t="n">
        <v>10600</v>
      </c>
      <c r="N33" t="n">
        <v>11000</v>
      </c>
      <c r="O33" t="n">
        <v>11600</v>
      </c>
      <c r="P33" t="n">
        <v>12000</v>
      </c>
      <c r="Q33" t="n">
        <v>12400</v>
      </c>
      <c r="R33" t="n">
        <v>2.980499906193024</v>
      </c>
      <c r="S33" t="n">
        <v>2.969925747397274</v>
      </c>
      <c r="T33" t="n">
        <v>2.965536473934888</v>
      </c>
      <c r="U33" t="n">
        <v>2.962876308200108</v>
      </c>
      <c r="V33" t="n">
        <v>2.959230046546401</v>
      </c>
      <c r="W33" t="n">
        <v>2.957001775535802</v>
      </c>
      <c r="X33" t="n">
        <v>2.954917263945243</v>
      </c>
    </row>
    <row r="34">
      <c r="A34" t="inlineStr">
        <is>
          <t>100X15X12|PLF 3070|NW|P1Y|N/A|N/A</t>
        </is>
      </c>
      <c r="B34" t="inlineStr">
        <is>
          <t>GB-1001512-M107-02</t>
        </is>
      </c>
      <c r="C34" t="inlineStr">
        <is>
          <t>GB 100x15x12 PLF 3070 NW P1Y</t>
        </is>
      </c>
      <c r="D34" t="n">
        <v>2</v>
      </c>
      <c r="E34" t="inlineStr">
        <is>
          <t>100X15X12</t>
        </is>
      </c>
      <c r="F34" t="inlineStr">
        <is>
          <t>PLF 3070</t>
        </is>
      </c>
      <c r="G34" t="inlineStr">
        <is>
          <t>NW</t>
        </is>
      </c>
      <c r="H34" t="inlineStr">
        <is>
          <t>P1Y</t>
        </is>
      </c>
      <c r="I34" t="inlineStr">
        <is>
          <t>N/A</t>
        </is>
      </c>
      <c r="J34" t="inlineStr">
        <is>
          <t>N/A</t>
        </is>
      </c>
      <c r="K34" t="n">
        <v>9000</v>
      </c>
      <c r="L34" t="n">
        <v>10400</v>
      </c>
      <c r="M34" t="n">
        <v>10800</v>
      </c>
      <c r="N34" t="n">
        <v>11400</v>
      </c>
      <c r="O34" t="n">
        <v>11800</v>
      </c>
      <c r="P34" t="n">
        <v>12400</v>
      </c>
      <c r="Q34" t="n">
        <v>12800</v>
      </c>
      <c r="R34" t="n">
        <v>2.66079357731192</v>
      </c>
      <c r="S34" t="n">
        <v>2.649195141025983</v>
      </c>
      <c r="T34" t="n">
        <v>2.646433608576951</v>
      </c>
      <c r="U34" t="n">
        <v>2.642654669436169</v>
      </c>
      <c r="V34" t="n">
        <v>2.640348876062133</v>
      </c>
      <c r="W34" t="n">
        <v>2.637169112618906</v>
      </c>
      <c r="X34" t="n">
        <v>2.635214883002757</v>
      </c>
    </row>
    <row r="35">
      <c r="A35" t="inlineStr">
        <is>
          <t>100X15X12|PLF 3070|NW|P2Y|N/A|N/A</t>
        </is>
      </c>
      <c r="B35" t="inlineStr">
        <is>
          <t>GB-1001512-M107-04</t>
        </is>
      </c>
      <c r="C35" t="inlineStr">
        <is>
          <t>GB 100x15x12 PLF 3070 NW P2Y</t>
        </is>
      </c>
      <c r="D35" t="n">
        <v>2</v>
      </c>
      <c r="E35" t="inlineStr">
        <is>
          <t>100X15X12</t>
        </is>
      </c>
      <c r="F35" t="inlineStr">
        <is>
          <t>PLF 3070</t>
        </is>
      </c>
      <c r="G35" t="inlineStr">
        <is>
          <t>NW</t>
        </is>
      </c>
      <c r="H35" t="inlineStr">
        <is>
          <t>P2Y</t>
        </is>
      </c>
      <c r="I35" t="inlineStr">
        <is>
          <t>N/A</t>
        </is>
      </c>
      <c r="J35" t="inlineStr">
        <is>
          <t>N/A</t>
        </is>
      </c>
      <c r="K35" t="n">
        <v>9000</v>
      </c>
      <c r="L35" t="n">
        <v>10400</v>
      </c>
      <c r="M35" t="n">
        <v>10800</v>
      </c>
      <c r="N35" t="n">
        <v>11400</v>
      </c>
      <c r="O35" t="n">
        <v>11800</v>
      </c>
      <c r="P35" t="n">
        <v>12400</v>
      </c>
      <c r="Q35" t="n">
        <v>12800</v>
      </c>
      <c r="R35" t="n">
        <v>2.699933690948283</v>
      </c>
      <c r="S35" t="n">
        <v>2.688335254662347</v>
      </c>
      <c r="T35" t="n">
        <v>2.685573722213315</v>
      </c>
      <c r="U35" t="n">
        <v>2.681794783072533</v>
      </c>
      <c r="V35" t="n">
        <v>2.679488989698498</v>
      </c>
      <c r="W35" t="n">
        <v>2.67630922625527</v>
      </c>
      <c r="X35" t="n">
        <v>2.67435499663912</v>
      </c>
    </row>
    <row r="36">
      <c r="A36" t="inlineStr">
        <is>
          <t>100X15X12|PLF 3070|NW|P2Y|HOLES|N/A</t>
        </is>
      </c>
      <c r="B36" t="inlineStr">
        <is>
          <t>GB-1001512-M107-09</t>
        </is>
      </c>
      <c r="C36" t="inlineStr">
        <is>
          <t>GB 100x15x12 PLF 3070 NW P2Y+HOLES</t>
        </is>
      </c>
      <c r="D36" t="n">
        <v>2</v>
      </c>
      <c r="E36" t="inlineStr">
        <is>
          <t>100X15X12</t>
        </is>
      </c>
      <c r="F36" t="inlineStr">
        <is>
          <t>PLF 3070</t>
        </is>
      </c>
      <c r="G36" t="inlineStr">
        <is>
          <t>NW</t>
        </is>
      </c>
      <c r="H36" t="inlineStr">
        <is>
          <t>P2Y</t>
        </is>
      </c>
      <c r="I36" t="inlineStr">
        <is>
          <t>HOLES</t>
        </is>
      </c>
      <c r="J36" t="inlineStr">
        <is>
          <t>N/A</t>
        </is>
      </c>
      <c r="K36" t="n">
        <v>9000</v>
      </c>
      <c r="L36" t="n">
        <v>10400</v>
      </c>
      <c r="M36" t="n">
        <v>10800</v>
      </c>
      <c r="N36" t="n">
        <v>11400</v>
      </c>
      <c r="O36" t="n">
        <v>11800</v>
      </c>
      <c r="P36" t="n">
        <v>12400</v>
      </c>
      <c r="Q36" t="n">
        <v>12800</v>
      </c>
      <c r="R36" t="n">
        <v>2.699933690948283</v>
      </c>
      <c r="S36" t="n">
        <v>2.688335254662347</v>
      </c>
      <c r="T36" t="n">
        <v>2.685573722213315</v>
      </c>
      <c r="U36" t="n">
        <v>2.681794783072533</v>
      </c>
      <c r="V36" t="n">
        <v>2.679488989698498</v>
      </c>
      <c r="W36" t="n">
        <v>2.67630922625527</v>
      </c>
      <c r="X36" t="n">
        <v>2.67435499663912</v>
      </c>
    </row>
    <row r="37">
      <c r="A37" t="inlineStr">
        <is>
          <t>100X15X12|PLF 3070|NW|P3Y|HOLES|N/A</t>
        </is>
      </c>
      <c r="B37" t="inlineStr">
        <is>
          <t>GB-1001512-M107-10</t>
        </is>
      </c>
      <c r="C37" t="inlineStr">
        <is>
          <t>GB 100x15x12 PLF 3070 NW P3Y+HOLES</t>
        </is>
      </c>
      <c r="D37" t="n">
        <v>2</v>
      </c>
      <c r="E37" t="inlineStr">
        <is>
          <t>100X15X12</t>
        </is>
      </c>
      <c r="F37" t="inlineStr">
        <is>
          <t>PLF 3070</t>
        </is>
      </c>
      <c r="G37" t="inlineStr">
        <is>
          <t>NW</t>
        </is>
      </c>
      <c r="H37" t="inlineStr">
        <is>
          <t>P3Y</t>
        </is>
      </c>
      <c r="I37" t="inlineStr">
        <is>
          <t>HOLES</t>
        </is>
      </c>
      <c r="J37" t="inlineStr">
        <is>
          <t>N/A</t>
        </is>
      </c>
      <c r="K37" t="n">
        <v>9000</v>
      </c>
      <c r="L37" t="n">
        <v>10400</v>
      </c>
      <c r="M37" t="n">
        <v>10800</v>
      </c>
      <c r="N37" t="n">
        <v>11400</v>
      </c>
      <c r="O37" t="n">
        <v>11800</v>
      </c>
      <c r="P37" t="n">
        <v>12400</v>
      </c>
      <c r="Q37" t="n">
        <v>12800</v>
      </c>
      <c r="R37" t="n">
        <v>2.778213918221011</v>
      </c>
      <c r="S37" t="n">
        <v>2.766615481935074</v>
      </c>
      <c r="T37" t="n">
        <v>2.763853949486042</v>
      </c>
      <c r="U37" t="n">
        <v>2.760075010345261</v>
      </c>
      <c r="V37" t="n">
        <v>2.757769216971225</v>
      </c>
      <c r="W37" t="n">
        <v>2.754589453527998</v>
      </c>
      <c r="X37" t="n">
        <v>2.752635223911847</v>
      </c>
    </row>
    <row r="38">
      <c r="A38" t="inlineStr">
        <is>
          <t>100X15X12|PLF 3070|NW|P1Y|HOLES|N/A</t>
        </is>
      </c>
      <c r="B38" t="inlineStr">
        <is>
          <t>GB-1001512-M107-11</t>
        </is>
      </c>
      <c r="C38" t="inlineStr">
        <is>
          <t>GB 100x15x12 PLF 3070 NW P1Y+HOLES</t>
        </is>
      </c>
      <c r="D38" t="n">
        <v>2</v>
      </c>
      <c r="E38" t="inlineStr">
        <is>
          <t>100X15X12</t>
        </is>
      </c>
      <c r="F38" t="inlineStr">
        <is>
          <t>PLF 3070</t>
        </is>
      </c>
      <c r="G38" t="inlineStr">
        <is>
          <t>NW</t>
        </is>
      </c>
      <c r="H38" t="inlineStr">
        <is>
          <t>P1Y</t>
        </is>
      </c>
      <c r="I38" t="inlineStr">
        <is>
          <t>HOLES</t>
        </is>
      </c>
      <c r="J38" t="inlineStr">
        <is>
          <t>N/A</t>
        </is>
      </c>
      <c r="K38" t="n">
        <v>9000</v>
      </c>
      <c r="L38" t="n">
        <v>10400</v>
      </c>
      <c r="M38" t="n">
        <v>10800</v>
      </c>
      <c r="N38" t="n">
        <v>11400</v>
      </c>
      <c r="O38" t="n">
        <v>11800</v>
      </c>
      <c r="P38" t="n">
        <v>12400</v>
      </c>
      <c r="Q38" t="n">
        <v>12800</v>
      </c>
      <c r="R38" t="n">
        <v>2.66079357731192</v>
      </c>
      <c r="S38" t="n">
        <v>2.649195141025983</v>
      </c>
      <c r="T38" t="n">
        <v>2.646433608576951</v>
      </c>
      <c r="U38" t="n">
        <v>2.642654669436169</v>
      </c>
      <c r="V38" t="n">
        <v>2.640348876062133</v>
      </c>
      <c r="W38" t="n">
        <v>2.637169112618906</v>
      </c>
      <c r="X38" t="n">
        <v>2.635214883002757</v>
      </c>
    </row>
    <row r="39">
      <c r="A39" t="inlineStr">
        <is>
          <t>100X15X12|PLF 3070|NW|P3Y|HOLES|BSU</t>
        </is>
      </c>
      <c r="B39" t="inlineStr">
        <is>
          <t>GB-1001512-M107-13</t>
        </is>
      </c>
      <c r="C39" t="inlineStr">
        <is>
          <t>GB 100x15x12 PLF 3070 NW BSU P3Y+HOLES</t>
        </is>
      </c>
      <c r="D39" t="n">
        <v>2</v>
      </c>
      <c r="E39" t="inlineStr">
        <is>
          <t>100X15X12</t>
        </is>
      </c>
      <c r="F39" t="inlineStr">
        <is>
          <t>PLF 3070</t>
        </is>
      </c>
      <c r="G39" t="inlineStr">
        <is>
          <t>NW</t>
        </is>
      </c>
      <c r="H39" t="inlineStr">
        <is>
          <t>P3Y</t>
        </is>
      </c>
      <c r="I39" t="inlineStr">
        <is>
          <t>HOLES</t>
        </is>
      </c>
      <c r="J39" t="inlineStr">
        <is>
          <t>BSU</t>
        </is>
      </c>
      <c r="K39" t="n">
        <v>9000</v>
      </c>
      <c r="L39" t="n">
        <v>10400</v>
      </c>
      <c r="M39" t="n">
        <v>10800</v>
      </c>
      <c r="N39" t="n">
        <v>11400</v>
      </c>
      <c r="O39" t="n">
        <v>11800</v>
      </c>
      <c r="P39" t="n">
        <v>12400</v>
      </c>
      <c r="Q39" t="n">
        <v>12800</v>
      </c>
      <c r="R39" t="n">
        <v>2.778213918221011</v>
      </c>
      <c r="S39" t="n">
        <v>2.766615481935074</v>
      </c>
      <c r="T39" t="n">
        <v>2.763853949486042</v>
      </c>
      <c r="U39" t="n">
        <v>2.760075010345261</v>
      </c>
      <c r="V39" t="n">
        <v>2.757769216971225</v>
      </c>
      <c r="W39" t="n">
        <v>2.754589453527998</v>
      </c>
      <c r="X39" t="n">
        <v>2.752635223911847</v>
      </c>
    </row>
    <row r="40">
      <c r="A40" t="inlineStr">
        <is>
          <t>100X15X12|PLF 3070|NW|P4Y|HOLES|N/A</t>
        </is>
      </c>
      <c r="B40" t="inlineStr">
        <is>
          <t>GB-1001512-M107-15</t>
        </is>
      </c>
      <c r="C40" t="inlineStr">
        <is>
          <t>GB 100x15x12 PLF 3070 NW P4Y + HOLES</t>
        </is>
      </c>
      <c r="D40" t="n">
        <v>2</v>
      </c>
      <c r="E40" t="inlineStr">
        <is>
          <t>100X15X12</t>
        </is>
      </c>
      <c r="F40" t="inlineStr">
        <is>
          <t>PLF 3070</t>
        </is>
      </c>
      <c r="G40" t="inlineStr">
        <is>
          <t>NW</t>
        </is>
      </c>
      <c r="H40" t="inlineStr">
        <is>
          <t>P4Y</t>
        </is>
      </c>
      <c r="I40" t="inlineStr">
        <is>
          <t>HOLES</t>
        </is>
      </c>
      <c r="J40" t="inlineStr">
        <is>
          <t>N/A</t>
        </is>
      </c>
      <c r="K40" t="n">
        <v>9000</v>
      </c>
      <c r="L40" t="n">
        <v>10400</v>
      </c>
      <c r="M40" t="n">
        <v>10800</v>
      </c>
      <c r="N40" t="n">
        <v>11400</v>
      </c>
      <c r="O40" t="n">
        <v>11800</v>
      </c>
      <c r="P40" t="n">
        <v>12400</v>
      </c>
      <c r="Q40" t="n">
        <v>12800</v>
      </c>
      <c r="R40" t="n">
        <v>2.893770444195037</v>
      </c>
      <c r="S40" t="n">
        <v>2.8821720079091</v>
      </c>
      <c r="T40" t="n">
        <v>2.879410475460068</v>
      </c>
      <c r="U40" t="n">
        <v>2.875631536319287</v>
      </c>
      <c r="V40" t="n">
        <v>2.873325742945251</v>
      </c>
      <c r="W40" t="n">
        <v>2.870145979502023</v>
      </c>
      <c r="X40" t="n">
        <v>2.868191749885873</v>
      </c>
    </row>
    <row r="41">
      <c r="A41" t="inlineStr">
        <is>
          <t>100X15X12|PLF 3070|NW|P2Y|HOLES|BSU</t>
        </is>
      </c>
      <c r="B41" t="inlineStr">
        <is>
          <t>GB-1001512-M107-16</t>
        </is>
      </c>
      <c r="C41" t="inlineStr">
        <is>
          <t>GB 100x15x12 PLF 3070 NW BSU P2Y+HOLES</t>
        </is>
      </c>
      <c r="D41" t="n">
        <v>2</v>
      </c>
      <c r="E41" t="inlineStr">
        <is>
          <t>100X15X12</t>
        </is>
      </c>
      <c r="F41" t="inlineStr">
        <is>
          <t>PLF 3070</t>
        </is>
      </c>
      <c r="G41" t="inlineStr">
        <is>
          <t>NW</t>
        </is>
      </c>
      <c r="H41" t="inlineStr">
        <is>
          <t>P2Y</t>
        </is>
      </c>
      <c r="I41" t="inlineStr">
        <is>
          <t>HOLES</t>
        </is>
      </c>
      <c r="J41" t="inlineStr">
        <is>
          <t>BSU</t>
        </is>
      </c>
      <c r="K41" t="n">
        <v>9000</v>
      </c>
      <c r="L41" t="n">
        <v>10400</v>
      </c>
      <c r="M41" t="n">
        <v>10800</v>
      </c>
      <c r="N41" t="n">
        <v>11400</v>
      </c>
      <c r="O41" t="n">
        <v>11800</v>
      </c>
      <c r="P41" t="n">
        <v>12400</v>
      </c>
      <c r="Q41" t="n">
        <v>12800</v>
      </c>
      <c r="R41" t="n">
        <v>2.699933690948283</v>
      </c>
      <c r="S41" t="n">
        <v>2.688335254662347</v>
      </c>
      <c r="T41" t="n">
        <v>2.685573722213315</v>
      </c>
      <c r="U41" t="n">
        <v>2.681794783072533</v>
      </c>
      <c r="V41" t="n">
        <v>2.679488989698498</v>
      </c>
      <c r="W41" t="n">
        <v>2.67630922625527</v>
      </c>
      <c r="X41" t="n">
        <v>2.67435499663912</v>
      </c>
    </row>
    <row r="42">
      <c r="A42" t="inlineStr">
        <is>
          <t>100X15X12|PLF 3070|NW|P3Y|HOLES|N/A</t>
        </is>
      </c>
      <c r="B42" t="inlineStr">
        <is>
          <t>GB-1001512-M107-20</t>
        </is>
      </c>
      <c r="C42" t="inlineStr">
        <is>
          <t>GB 100x15x12 PLF 3070 NW P3Y+HOLES</t>
        </is>
      </c>
      <c r="D42" t="n">
        <v>2</v>
      </c>
      <c r="E42" t="inlineStr">
        <is>
          <t>100X15X12</t>
        </is>
      </c>
      <c r="F42" t="inlineStr">
        <is>
          <t>PLF 3070</t>
        </is>
      </c>
      <c r="G42" t="inlineStr">
        <is>
          <t>NW</t>
        </is>
      </c>
      <c r="H42" t="inlineStr">
        <is>
          <t>P3Y</t>
        </is>
      </c>
      <c r="I42" t="inlineStr">
        <is>
          <t>HOLES</t>
        </is>
      </c>
      <c r="J42" t="inlineStr">
        <is>
          <t>N/A</t>
        </is>
      </c>
      <c r="K42" t="n">
        <v>9000</v>
      </c>
      <c r="L42" t="n">
        <v>10400</v>
      </c>
      <c r="M42" t="n">
        <v>10800</v>
      </c>
      <c r="N42" t="n">
        <v>11400</v>
      </c>
      <c r="O42" t="n">
        <v>11800</v>
      </c>
      <c r="P42" t="n">
        <v>12400</v>
      </c>
      <c r="Q42" t="n">
        <v>12800</v>
      </c>
      <c r="R42" t="n">
        <v>2.778213918221011</v>
      </c>
      <c r="S42" t="n">
        <v>2.766615481935074</v>
      </c>
      <c r="T42" t="n">
        <v>2.763853949486042</v>
      </c>
      <c r="U42" t="n">
        <v>2.760075010345261</v>
      </c>
      <c r="V42" t="n">
        <v>2.757769216971225</v>
      </c>
      <c r="W42" t="n">
        <v>2.754589453527998</v>
      </c>
      <c r="X42" t="n">
        <v>2.752635223911847</v>
      </c>
    </row>
    <row r="43">
      <c r="A43" t="inlineStr">
        <is>
          <t>100X15X12|PLF 3070|NW|P2Y|HOLES|N/A</t>
        </is>
      </c>
      <c r="B43" t="inlineStr">
        <is>
          <t>GB-1001512-M107-21</t>
        </is>
      </c>
      <c r="C43" t="inlineStr">
        <is>
          <t>GB 100x15x12 PLF 3070 NW P2Y+HOLES</t>
        </is>
      </c>
      <c r="D43" t="n">
        <v>2</v>
      </c>
      <c r="E43" t="inlineStr">
        <is>
          <t>100X15X12</t>
        </is>
      </c>
      <c r="F43" t="inlineStr">
        <is>
          <t>PLF 3070</t>
        </is>
      </c>
      <c r="G43" t="inlineStr">
        <is>
          <t>NW</t>
        </is>
      </c>
      <c r="H43" t="inlineStr">
        <is>
          <t>P2Y</t>
        </is>
      </c>
      <c r="I43" t="inlineStr">
        <is>
          <t>HOLES</t>
        </is>
      </c>
      <c r="J43" t="inlineStr">
        <is>
          <t>N/A</t>
        </is>
      </c>
      <c r="K43" t="n">
        <v>9000</v>
      </c>
      <c r="L43" t="n">
        <v>10400</v>
      </c>
      <c r="M43" t="n">
        <v>10800</v>
      </c>
      <c r="N43" t="n">
        <v>11400</v>
      </c>
      <c r="O43" t="n">
        <v>11800</v>
      </c>
      <c r="P43" t="n">
        <v>12400</v>
      </c>
      <c r="Q43" t="n">
        <v>12800</v>
      </c>
      <c r="R43" t="n">
        <v>2.699933690948283</v>
      </c>
      <c r="S43" t="n">
        <v>2.688335254662347</v>
      </c>
      <c r="T43" t="n">
        <v>2.685573722213315</v>
      </c>
      <c r="U43" t="n">
        <v>2.681794783072533</v>
      </c>
      <c r="V43" t="n">
        <v>2.679488989698498</v>
      </c>
      <c r="W43" t="n">
        <v>2.67630922625527</v>
      </c>
      <c r="X43" t="n">
        <v>2.67435499663912</v>
      </c>
    </row>
    <row r="44">
      <c r="A44" t="inlineStr">
        <is>
          <t>100X15X13|PLF 3070|NW|P1Y|HOLES|N/A</t>
        </is>
      </c>
      <c r="B44" t="inlineStr">
        <is>
          <t>GB-1001513-M107-01</t>
        </is>
      </c>
      <c r="C44" t="inlineStr">
        <is>
          <t>GB 100x15x13 PLF 3070 NW P1Y + HOLES</t>
        </is>
      </c>
      <c r="D44" t="n">
        <v>2.15</v>
      </c>
      <c r="E44" t="inlineStr">
        <is>
          <t>100X15X13</t>
        </is>
      </c>
      <c r="F44" t="inlineStr">
        <is>
          <t>PLF 3070</t>
        </is>
      </c>
      <c r="G44" t="inlineStr">
        <is>
          <t>NW</t>
        </is>
      </c>
      <c r="H44" t="inlineStr">
        <is>
          <t>P1Y</t>
        </is>
      </c>
      <c r="I44" t="inlineStr">
        <is>
          <t>HOLES</t>
        </is>
      </c>
      <c r="J44" t="inlineStr">
        <is>
          <t>N/A</t>
        </is>
      </c>
      <c r="K44" t="n">
        <v>8400</v>
      </c>
      <c r="L44" t="n">
        <v>9600</v>
      </c>
      <c r="M44" t="n">
        <v>10000</v>
      </c>
      <c r="N44" t="n">
        <v>10600</v>
      </c>
      <c r="O44" t="n">
        <v>11000</v>
      </c>
      <c r="P44" t="n">
        <v>11400</v>
      </c>
      <c r="Q44" t="n">
        <v>12000</v>
      </c>
      <c r="R44" t="n">
        <v>2.827983679078536</v>
      </c>
      <c r="S44" t="n">
        <v>2.816444418487936</v>
      </c>
      <c r="T44" t="n">
        <v>2.813213425522569</v>
      </c>
      <c r="U44" t="n">
        <v>2.808824152060182</v>
      </c>
      <c r="V44" t="n">
        <v>2.806163986325402</v>
      </c>
      <c r="W44" t="n">
        <v>2.8036904988878</v>
      </c>
      <c r="X44" t="n">
        <v>2.800289453661096</v>
      </c>
    </row>
    <row r="45">
      <c r="A45" t="inlineStr">
        <is>
          <t>100X15X14|PRO 7030|NW|P1Y|HOLES|N/A</t>
        </is>
      </c>
      <c r="B45" t="inlineStr">
        <is>
          <t>GB-1001514.5-M103-01</t>
        </is>
      </c>
      <c r="C45" t="inlineStr">
        <is>
          <t>GB 100x15x14.5 PRO 7030 NW P1Y + HOLES</t>
        </is>
      </c>
      <c r="D45" t="n">
        <v>2.55</v>
      </c>
      <c r="E45" t="inlineStr">
        <is>
          <t>100X15X14</t>
        </is>
      </c>
      <c r="F45" t="inlineStr">
        <is>
          <t>PRO 7030</t>
        </is>
      </c>
      <c r="G45" t="inlineStr">
        <is>
          <t>NW</t>
        </is>
      </c>
      <c r="H45" t="inlineStr">
        <is>
          <t>P1Y</t>
        </is>
      </c>
      <c r="I45" t="inlineStr">
        <is>
          <t>HOLES</t>
        </is>
      </c>
      <c r="J45" t="inlineStr">
        <is>
          <t>N/A</t>
        </is>
      </c>
      <c r="K45" t="n">
        <v>7000</v>
      </c>
      <c r="L45" t="n">
        <v>8000</v>
      </c>
      <c r="M45" t="n">
        <v>8400</v>
      </c>
      <c r="N45" t="n">
        <v>8800</v>
      </c>
      <c r="O45" t="n">
        <v>9200</v>
      </c>
      <c r="P45" t="n">
        <v>9600</v>
      </c>
      <c r="Q45" t="n">
        <v>10000</v>
      </c>
      <c r="R45" t="n">
        <v>3.098061420228777</v>
      </c>
      <c r="S45" t="n">
        <v>3.084214307520057</v>
      </c>
      <c r="T45" t="n">
        <v>3.079598603283817</v>
      </c>
      <c r="U45" t="n">
        <v>3.075402508523599</v>
      </c>
      <c r="V45" t="n">
        <v>3.071571291568617</v>
      </c>
      <c r="W45" t="n">
        <v>3.068059342693217</v>
      </c>
      <c r="X45" t="n">
        <v>3.06482834972785</v>
      </c>
    </row>
    <row r="46">
      <c r="A46" t="inlineStr">
        <is>
          <t>100X15X14|PRO 7030|NW|P1Y|HOLES|N/A</t>
        </is>
      </c>
      <c r="B46" t="inlineStr">
        <is>
          <t>GB-1001514-M103-01</t>
        </is>
      </c>
      <c r="C46" t="inlineStr">
        <is>
          <t>GB 100x15x14 PRO 7030 NW P1Y + HOLES</t>
        </is>
      </c>
      <c r="D46" t="n">
        <v>2.45</v>
      </c>
      <c r="E46" t="inlineStr">
        <is>
          <t>100X15X14</t>
        </is>
      </c>
      <c r="F46" t="inlineStr">
        <is>
          <t>PRO 7030</t>
        </is>
      </c>
      <c r="G46" t="inlineStr">
        <is>
          <t>NW</t>
        </is>
      </c>
      <c r="H46" t="inlineStr">
        <is>
          <t>P1Y</t>
        </is>
      </c>
      <c r="I46" t="inlineStr">
        <is>
          <t>HOLES</t>
        </is>
      </c>
      <c r="J46" t="inlineStr">
        <is>
          <t>N/A</t>
        </is>
      </c>
      <c r="K46" t="n">
        <v>7400</v>
      </c>
      <c r="L46" t="n">
        <v>8400</v>
      </c>
      <c r="M46" t="n">
        <v>8800</v>
      </c>
      <c r="N46" t="n">
        <v>9200</v>
      </c>
      <c r="O46" t="n">
        <v>9600</v>
      </c>
      <c r="P46" t="n">
        <v>10000</v>
      </c>
      <c r="Q46" t="n">
        <v>10400</v>
      </c>
      <c r="R46" t="n">
        <v>2.994488048207236</v>
      </c>
      <c r="S46" t="n">
        <v>2.982013171893075</v>
      </c>
      <c r="T46" t="n">
        <v>2.977817077132857</v>
      </c>
      <c r="U46" t="n">
        <v>2.973985860177875</v>
      </c>
      <c r="V46" t="n">
        <v>2.970473911302475</v>
      </c>
      <c r="W46" t="n">
        <v>2.967242918337107</v>
      </c>
      <c r="X46" t="n">
        <v>2.964260463292152</v>
      </c>
    </row>
    <row r="47">
      <c r="A47" t="inlineStr">
        <is>
          <t>100X15X14|PLF 3070|NW|P3Y|HOLES|N/A</t>
        </is>
      </c>
      <c r="B47" t="inlineStr">
        <is>
          <t>GB-1001514-M107-03</t>
        </is>
      </c>
      <c r="C47" t="inlineStr">
        <is>
          <t>GB 100x15x14 PLF 3070 NW P3Y + HOLES</t>
        </is>
      </c>
      <c r="D47" t="n">
        <v>2.35</v>
      </c>
      <c r="E47" t="inlineStr">
        <is>
          <t>100X15X14</t>
        </is>
      </c>
      <c r="F47" t="inlineStr">
        <is>
          <t>PLF 3070</t>
        </is>
      </c>
      <c r="G47" t="inlineStr">
        <is>
          <t>NW</t>
        </is>
      </c>
      <c r="H47" t="inlineStr">
        <is>
          <t>P3Y</t>
        </is>
      </c>
      <c r="I47" t="inlineStr">
        <is>
          <t>HOLES</t>
        </is>
      </c>
      <c r="J47" t="inlineStr">
        <is>
          <t>N/A</t>
        </is>
      </c>
      <c r="K47" t="n">
        <v>7600</v>
      </c>
      <c r="L47" t="n">
        <v>8800</v>
      </c>
      <c r="M47" t="n">
        <v>9200</v>
      </c>
      <c r="N47" t="n">
        <v>9600</v>
      </c>
      <c r="O47" t="n">
        <v>10000</v>
      </c>
      <c r="P47" t="n">
        <v>10400</v>
      </c>
      <c r="Q47" t="n">
        <v>10800</v>
      </c>
      <c r="R47" t="n">
        <v>3.202666295541508</v>
      </c>
      <c r="S47" t="n">
        <v>3.188752928704994</v>
      </c>
      <c r="T47" t="n">
        <v>3.184921711750013</v>
      </c>
      <c r="U47" t="n">
        <v>3.181409762874613</v>
      </c>
      <c r="V47" t="n">
        <v>3.178178769909245</v>
      </c>
      <c r="W47" t="n">
        <v>3.17519631486429</v>
      </c>
      <c r="X47" t="n">
        <v>3.172434782415257</v>
      </c>
    </row>
    <row r="48">
      <c r="A48" t="inlineStr">
        <is>
          <t>100X15X15|PRO 7030|NW|P1Y|HOLES|N/A</t>
        </is>
      </c>
      <c r="B48" t="inlineStr">
        <is>
          <t>GB-1001515-M103-01</t>
        </is>
      </c>
      <c r="C48" t="inlineStr">
        <is>
          <t>GB 100x15x15 PRO 7030 NW P1Y + HOLES</t>
        </is>
      </c>
      <c r="D48" t="n">
        <v>2.63</v>
      </c>
      <c r="E48" t="inlineStr">
        <is>
          <t>100X15X15</t>
        </is>
      </c>
      <c r="F48" t="inlineStr">
        <is>
          <t>PRO 7030</t>
        </is>
      </c>
      <c r="G48" t="inlineStr">
        <is>
          <t>NW</t>
        </is>
      </c>
      <c r="H48" t="inlineStr">
        <is>
          <t>P1Y</t>
        </is>
      </c>
      <c r="I48" t="inlineStr">
        <is>
          <t>HOLES</t>
        </is>
      </c>
      <c r="J48" t="inlineStr">
        <is>
          <t>N/A</t>
        </is>
      </c>
      <c r="K48" t="n">
        <v>6800</v>
      </c>
      <c r="L48" t="n">
        <v>7800</v>
      </c>
      <c r="M48" t="n">
        <v>8200</v>
      </c>
      <c r="N48" t="n">
        <v>8600</v>
      </c>
      <c r="O48" t="n">
        <v>9000</v>
      </c>
      <c r="P48" t="n">
        <v>9400</v>
      </c>
      <c r="Q48" t="n">
        <v>9800</v>
      </c>
      <c r="R48" t="n">
        <v>3.18014954571684</v>
      </c>
      <c r="S48" t="n">
        <v>3.165529668045492</v>
      </c>
      <c r="T48" t="n">
        <v>3.160680147647191</v>
      </c>
      <c r="U48" t="n">
        <v>3.156281745425476</v>
      </c>
      <c r="V48" t="n">
        <v>3.152274312290135</v>
      </c>
      <c r="W48" t="n">
        <v>3.148607937293974</v>
      </c>
      <c r="X48" t="n">
        <v>3.145240858215866</v>
      </c>
    </row>
    <row r="49">
      <c r="A49" t="inlineStr">
        <is>
          <t>100X15X15|PLF 3070|NW|P1Y|HOLES|N/A</t>
        </is>
      </c>
      <c r="B49" t="inlineStr">
        <is>
          <t>GB-1001515-M107-01</t>
        </is>
      </c>
      <c r="C49" t="inlineStr">
        <is>
          <t>GB 100x15x15 PLF 3070 NW P1Y + HOLES</t>
        </is>
      </c>
      <c r="D49" t="n">
        <v>2.52</v>
      </c>
      <c r="E49" t="inlineStr">
        <is>
          <t>100X15X15</t>
        </is>
      </c>
      <c r="F49" t="inlineStr">
        <is>
          <t>PLF 3070</t>
        </is>
      </c>
      <c r="G49" t="inlineStr">
        <is>
          <t>NW</t>
        </is>
      </c>
      <c r="H49" t="inlineStr">
        <is>
          <t>P1Y</t>
        </is>
      </c>
      <c r="I49" t="inlineStr">
        <is>
          <t>HOLES</t>
        </is>
      </c>
      <c r="J49" t="inlineStr">
        <is>
          <t>N/A</t>
        </is>
      </c>
      <c r="K49" t="n">
        <v>7200</v>
      </c>
      <c r="L49" t="n">
        <v>8200</v>
      </c>
      <c r="M49" t="n">
        <v>8600</v>
      </c>
      <c r="N49" t="n">
        <v>9000</v>
      </c>
      <c r="O49" t="n">
        <v>9400</v>
      </c>
      <c r="P49" t="n">
        <v>9800</v>
      </c>
      <c r="Q49" t="n">
        <v>10200</v>
      </c>
      <c r="R49" t="n">
        <v>3.262716135977193</v>
      </c>
      <c r="S49" t="n">
        <v>3.249582018231795</v>
      </c>
      <c r="T49" t="n">
        <v>3.24518361601008</v>
      </c>
      <c r="U49" t="n">
        <v>3.241176182874741</v>
      </c>
      <c r="V49" t="n">
        <v>3.237509807878579</v>
      </c>
      <c r="W49" t="n">
        <v>3.23414272880047</v>
      </c>
      <c r="X49" t="n">
        <v>3.231039734355939</v>
      </c>
    </row>
    <row r="50">
      <c r="A50" t="inlineStr">
        <is>
          <t>100X15X16|PLF 3070|NW|P1Y|HOLES|N/A</t>
        </is>
      </c>
      <c r="B50" t="inlineStr">
        <is>
          <t>GB-1001516-M107-01</t>
        </is>
      </c>
      <c r="C50" t="inlineStr">
        <is>
          <t>GB 100x15x16 PLF 3070 NW P1Y + HOLES</t>
        </is>
      </c>
      <c r="D50" t="n">
        <v>2.83</v>
      </c>
      <c r="E50" t="inlineStr">
        <is>
          <t>100X15X16</t>
        </is>
      </c>
      <c r="F50" t="inlineStr">
        <is>
          <t>PLF 3070</t>
        </is>
      </c>
      <c r="G50" t="inlineStr">
        <is>
          <t>NW</t>
        </is>
      </c>
      <c r="H50" t="inlineStr">
        <is>
          <t>P1Y</t>
        </is>
      </c>
      <c r="I50" t="inlineStr">
        <is>
          <t>HOLES</t>
        </is>
      </c>
      <c r="J50" t="inlineStr">
        <is>
          <t>N/A</t>
        </is>
      </c>
      <c r="K50" t="n">
        <v>6400</v>
      </c>
      <c r="L50" t="n">
        <v>7200</v>
      </c>
      <c r="M50" t="n">
        <v>7600</v>
      </c>
      <c r="N50" t="n">
        <v>8000</v>
      </c>
      <c r="O50" t="n">
        <v>8400</v>
      </c>
      <c r="P50" t="n">
        <v>8600</v>
      </c>
      <c r="Q50" t="n">
        <v>9000</v>
      </c>
      <c r="R50" t="n">
        <v>3.596454221414492</v>
      </c>
      <c r="S50" t="n">
        <v>3.582991750725459</v>
      </c>
      <c r="T50" t="n">
        <v>3.577323342014286</v>
      </c>
      <c r="U50" t="n">
        <v>3.572221774174232</v>
      </c>
      <c r="V50" t="n">
        <v>3.567606069937992</v>
      </c>
      <c r="W50" t="n">
        <v>3.565459230758345</v>
      </c>
      <c r="X50" t="n">
        <v>3.561451797623005</v>
      </c>
    </row>
    <row r="51">
      <c r="A51" t="inlineStr">
        <is>
          <t>100X18X08|PRO 5050|NW|P2Y|HOLES|N/A</t>
        </is>
      </c>
      <c r="B51" t="inlineStr">
        <is>
          <t>GB-1001808-M105-01</t>
        </is>
      </c>
      <c r="C51" t="inlineStr">
        <is>
          <t>GB 100x18x08 PRO 5050 NW P2Y + HOLES</t>
        </is>
      </c>
      <c r="D51" t="n">
        <v>1.65</v>
      </c>
      <c r="E51" t="inlineStr">
        <is>
          <t>100X18X08</t>
        </is>
      </c>
      <c r="F51" t="inlineStr">
        <is>
          <t>PRO 5050</t>
        </is>
      </c>
      <c r="G51" t="inlineStr">
        <is>
          <t>NW</t>
        </is>
      </c>
      <c r="H51" t="inlineStr">
        <is>
          <t>P2Y</t>
        </is>
      </c>
      <c r="I51" t="inlineStr">
        <is>
          <t>HOLES</t>
        </is>
      </c>
      <c r="J51" t="inlineStr">
        <is>
          <t>N/A</t>
        </is>
      </c>
      <c r="K51" t="n">
        <v>11000</v>
      </c>
      <c r="L51" t="n">
        <v>12600</v>
      </c>
      <c r="M51" t="n">
        <v>13200</v>
      </c>
      <c r="N51" t="n">
        <v>13800</v>
      </c>
      <c r="O51" t="n">
        <v>14400</v>
      </c>
      <c r="P51" t="n">
        <v>15000</v>
      </c>
      <c r="Q51" t="n">
        <v>15600</v>
      </c>
      <c r="R51" t="n">
        <v>2.401490944923351</v>
      </c>
      <c r="S51" t="n">
        <v>2.392539276101552</v>
      </c>
      <c r="T51" t="n">
        <v>2.38974187959474</v>
      </c>
      <c r="U51" t="n">
        <v>2.387187734958085</v>
      </c>
      <c r="V51" t="n">
        <v>2.384846435707819</v>
      </c>
      <c r="W51" t="n">
        <v>2.382692440397574</v>
      </c>
      <c r="X51" t="n">
        <v>2.38070413703427</v>
      </c>
    </row>
    <row r="52">
      <c r="A52" t="inlineStr">
        <is>
          <t>100X18X10|PRO 7030|NW|P1Y|HOLES|N/A</t>
        </is>
      </c>
      <c r="B52" t="inlineStr">
        <is>
          <t xml:space="preserve">GB-1001810-M103-02 </t>
        </is>
      </c>
      <c r="C52" t="inlineStr">
        <is>
          <t>GB 100x18x10 PRO 7030 NW P1Y + HOLES</t>
        </is>
      </c>
      <c r="D52" t="n">
        <v>2.1</v>
      </c>
      <c r="E52" t="inlineStr">
        <is>
          <t>100X18X10</t>
        </is>
      </c>
      <c r="F52" t="inlineStr">
        <is>
          <t>PRO 7030</t>
        </is>
      </c>
      <c r="G52" t="inlineStr">
        <is>
          <t>NW</t>
        </is>
      </c>
      <c r="H52" t="inlineStr">
        <is>
          <t>P1Y</t>
        </is>
      </c>
      <c r="I52" t="inlineStr">
        <is>
          <t>HOLES</t>
        </is>
      </c>
      <c r="J52" t="inlineStr">
        <is>
          <t>N/A</t>
        </is>
      </c>
      <c r="K52" t="n">
        <v>8600</v>
      </c>
      <c r="L52" t="n">
        <v>9800</v>
      </c>
      <c r="M52" t="n">
        <v>10200</v>
      </c>
      <c r="N52" t="n">
        <v>10800</v>
      </c>
      <c r="O52" t="n">
        <v>11200</v>
      </c>
      <c r="P52" t="n">
        <v>11800</v>
      </c>
      <c r="Q52" t="n">
        <v>12200</v>
      </c>
      <c r="R52" t="n">
        <v>2.623623784003112</v>
      </c>
      <c r="S52" t="n">
        <v>2.612582896793501</v>
      </c>
      <c r="T52" t="n">
        <v>2.60947990234897</v>
      </c>
      <c r="U52" t="n">
        <v>2.605256382132803</v>
      </c>
      <c r="V52" t="n">
        <v>2.602692102001559</v>
      </c>
      <c r="W52" t="n">
        <v>2.599171649617986</v>
      </c>
      <c r="X52" t="n">
        <v>2.59701705580946</v>
      </c>
    </row>
    <row r="53">
      <c r="A53" t="inlineStr">
        <is>
          <t>100X18X11|PRO 6040|NW|P2Y|HOLES|N/A</t>
        </is>
      </c>
      <c r="B53" t="inlineStr">
        <is>
          <t>GB-1001811-M104-01</t>
        </is>
      </c>
      <c r="C53" t="inlineStr">
        <is>
          <t>GB 100x18x11 PRO 6040 NW P2Y + HOLES</t>
        </is>
      </c>
      <c r="D53" t="n">
        <v>2.25</v>
      </c>
      <c r="E53" t="inlineStr">
        <is>
          <t>100X18X11</t>
        </is>
      </c>
      <c r="F53" t="inlineStr">
        <is>
          <t>PRO 6040</t>
        </is>
      </c>
      <c r="G53" t="inlineStr">
        <is>
          <t>NW</t>
        </is>
      </c>
      <c r="H53" t="inlineStr">
        <is>
          <t>P2Y</t>
        </is>
      </c>
      <c r="I53" t="inlineStr">
        <is>
          <t>HOLES</t>
        </is>
      </c>
      <c r="J53" t="inlineStr">
        <is>
          <t>N/A</t>
        </is>
      </c>
      <c r="K53" t="n">
        <v>8000</v>
      </c>
      <c r="L53" t="n">
        <v>9200</v>
      </c>
      <c r="M53" t="n">
        <v>9600</v>
      </c>
      <c r="N53" t="n">
        <v>10000</v>
      </c>
      <c r="O53" t="n">
        <v>10400</v>
      </c>
      <c r="P53" t="n">
        <v>11000</v>
      </c>
      <c r="Q53" t="n">
        <v>11400</v>
      </c>
      <c r="R53" t="n">
        <v>2.967767789669791</v>
      </c>
      <c r="S53" t="n">
        <v>2.955124773718351</v>
      </c>
      <c r="T53" t="n">
        <v>2.951612824842951</v>
      </c>
      <c r="U53" t="n">
        <v>2.948381831877583</v>
      </c>
      <c r="V53" t="n">
        <v>2.945399376832628</v>
      </c>
      <c r="W53" t="n">
        <v>2.941332392680417</v>
      </c>
      <c r="X53" t="n">
        <v>2.938858905242814</v>
      </c>
    </row>
    <row r="54">
      <c r="A54" t="inlineStr">
        <is>
          <t>100X18X12|16MM|NW|P3Y|HOLES|N/A</t>
        </is>
      </c>
      <c r="B54" t="inlineStr">
        <is>
          <t>GB-1001812-M003-08</t>
        </is>
      </c>
      <c r="C54" t="inlineStr">
        <is>
          <t>GB 100x18x12 16mm NW P3Y + HOLES</t>
        </is>
      </c>
      <c r="D54" t="n">
        <v>2.35</v>
      </c>
      <c r="E54" t="inlineStr">
        <is>
          <t>100X18X12</t>
        </is>
      </c>
      <c r="F54" t="inlineStr">
        <is>
          <t>16MM</t>
        </is>
      </c>
      <c r="G54" t="inlineStr">
        <is>
          <t>NW</t>
        </is>
      </c>
      <c r="H54" t="inlineStr">
        <is>
          <t>P3Y</t>
        </is>
      </c>
      <c r="I54" t="inlineStr">
        <is>
          <t>HOLES</t>
        </is>
      </c>
      <c r="J54" t="inlineStr">
        <is>
          <t>N/A</t>
        </is>
      </c>
      <c r="K54" t="n">
        <v>7600</v>
      </c>
      <c r="L54" t="n">
        <v>8800</v>
      </c>
      <c r="M54" t="n">
        <v>9200</v>
      </c>
      <c r="N54" t="n">
        <v>9600</v>
      </c>
      <c r="O54" t="n">
        <v>10000</v>
      </c>
      <c r="P54" t="n">
        <v>10400</v>
      </c>
      <c r="Q54" t="n">
        <v>10800</v>
      </c>
      <c r="R54" t="n">
        <v>4.037620485510947</v>
      </c>
      <c r="S54" t="n">
        <v>4.023707118674435</v>
      </c>
      <c r="T54" t="n">
        <v>4.019875901719453</v>
      </c>
      <c r="U54" t="n">
        <v>4.016363952844054</v>
      </c>
      <c r="V54" t="n">
        <v>4.013132959878685</v>
      </c>
      <c r="W54" t="n">
        <v>4.01015050483373</v>
      </c>
      <c r="X54" t="n">
        <v>4.007388972384698</v>
      </c>
    </row>
    <row r="55">
      <c r="A55" t="inlineStr">
        <is>
          <t>100X18X12|16MM|NW|P3Y|HOLES|N/A</t>
        </is>
      </c>
      <c r="B55" t="inlineStr">
        <is>
          <t>GB-1001812-M003-09</t>
        </is>
      </c>
      <c r="C55" t="inlineStr">
        <is>
          <t>GB 100x18x12 16mm NW P3Y + HOLES</t>
        </is>
      </c>
      <c r="D55" t="n">
        <v>2.35</v>
      </c>
      <c r="E55" t="inlineStr">
        <is>
          <t>100X18X12</t>
        </is>
      </c>
      <c r="F55" t="inlineStr">
        <is>
          <t>16MM</t>
        </is>
      </c>
      <c r="G55" t="inlineStr">
        <is>
          <t>NW</t>
        </is>
      </c>
      <c r="H55" t="inlineStr">
        <is>
          <t>P3Y</t>
        </is>
      </c>
      <c r="I55" t="inlineStr">
        <is>
          <t>HOLES</t>
        </is>
      </c>
      <c r="J55" t="inlineStr">
        <is>
          <t>N/A</t>
        </is>
      </c>
      <c r="K55" t="n">
        <v>7600</v>
      </c>
      <c r="L55" t="n">
        <v>8800</v>
      </c>
      <c r="M55" t="n">
        <v>9200</v>
      </c>
      <c r="N55" t="n">
        <v>9600</v>
      </c>
      <c r="O55" t="n">
        <v>10000</v>
      </c>
      <c r="P55" t="n">
        <v>10400</v>
      </c>
      <c r="Q55" t="n">
        <v>10800</v>
      </c>
      <c r="R55" t="n">
        <v>4.037620485510947</v>
      </c>
      <c r="S55" t="n">
        <v>4.023707118674435</v>
      </c>
      <c r="T55" t="n">
        <v>4.019875901719453</v>
      </c>
      <c r="U55" t="n">
        <v>4.016363952844054</v>
      </c>
      <c r="V55" t="n">
        <v>4.013132959878685</v>
      </c>
      <c r="W55" t="n">
        <v>4.01015050483373</v>
      </c>
      <c r="X55" t="n">
        <v>4.007388972384698</v>
      </c>
    </row>
    <row r="56">
      <c r="A56" t="inlineStr">
        <is>
          <t>100X18X12|PRO 8020|NW|P1Y|HOLES|N/A</t>
        </is>
      </c>
      <c r="B56" t="inlineStr">
        <is>
          <t>GB-1001812-M102-01</t>
        </is>
      </c>
      <c r="C56" t="inlineStr">
        <is>
          <t>GB 100x18x12 PRO 8020 NW P1Y + HOLES</t>
        </is>
      </c>
      <c r="D56" t="n">
        <v>2.55</v>
      </c>
      <c r="E56" t="inlineStr">
        <is>
          <t>100X18X12</t>
        </is>
      </c>
      <c r="F56" t="inlineStr">
        <is>
          <t>PRO 8020</t>
        </is>
      </c>
      <c r="G56" t="inlineStr">
        <is>
          <t>NW</t>
        </is>
      </c>
      <c r="H56" t="inlineStr">
        <is>
          <t>P1Y</t>
        </is>
      </c>
      <c r="I56" t="inlineStr">
        <is>
          <t>HOLES</t>
        </is>
      </c>
      <c r="J56" t="inlineStr">
        <is>
          <t>N/A</t>
        </is>
      </c>
      <c r="K56" t="n">
        <v>7000</v>
      </c>
      <c r="L56" t="n">
        <v>8000</v>
      </c>
      <c r="M56" t="n">
        <v>8400</v>
      </c>
      <c r="N56" t="n">
        <v>8800</v>
      </c>
      <c r="O56" t="n">
        <v>9200</v>
      </c>
      <c r="P56" t="n">
        <v>9600</v>
      </c>
      <c r="Q56" t="n">
        <v>10000</v>
      </c>
      <c r="R56" t="n">
        <v>2.930276546571535</v>
      </c>
      <c r="S56" t="n">
        <v>2.916429433862815</v>
      </c>
      <c r="T56" t="n">
        <v>2.911813729626575</v>
      </c>
      <c r="U56" t="n">
        <v>2.907617634866357</v>
      </c>
      <c r="V56" t="n">
        <v>2.903786417911375</v>
      </c>
      <c r="W56" t="n">
        <v>2.900274469035975</v>
      </c>
      <c r="X56" t="n">
        <v>2.897043476070607</v>
      </c>
    </row>
    <row r="57">
      <c r="A57" t="inlineStr">
        <is>
          <t>100X18X12|PRO 7030|NW|P1Y|HOLES|N/A</t>
        </is>
      </c>
      <c r="B57" t="inlineStr">
        <is>
          <t>GB-1001812-M103-01</t>
        </is>
      </c>
      <c r="C57" t="inlineStr">
        <is>
          <t>GB 100x18x12 PRO 7030 NW P1Y + HOLES</t>
        </is>
      </c>
      <c r="D57" t="n">
        <v>2.5</v>
      </c>
      <c r="E57" t="inlineStr">
        <is>
          <t>100X18X12</t>
        </is>
      </c>
      <c r="F57" t="inlineStr">
        <is>
          <t>PRO 7030</t>
        </is>
      </c>
      <c r="G57" t="inlineStr">
        <is>
          <t>NW</t>
        </is>
      </c>
      <c r="H57" t="inlineStr">
        <is>
          <t>P1Y</t>
        </is>
      </c>
      <c r="I57" t="inlineStr">
        <is>
          <t>HOLES</t>
        </is>
      </c>
      <c r="J57" t="inlineStr">
        <is>
          <t>N/A</t>
        </is>
      </c>
      <c r="K57" t="n">
        <v>7200</v>
      </c>
      <c r="L57" t="n">
        <v>8200</v>
      </c>
      <c r="M57" t="n">
        <v>8600</v>
      </c>
      <c r="N57" t="n">
        <v>9000</v>
      </c>
      <c r="O57" t="n">
        <v>9400</v>
      </c>
      <c r="P57" t="n">
        <v>9800</v>
      </c>
      <c r="Q57" t="n">
        <v>10200</v>
      </c>
      <c r="R57" t="n">
        <v>3.043277409272567</v>
      </c>
      <c r="S57" t="n">
        <v>3.030143291527169</v>
      </c>
      <c r="T57" t="n">
        <v>3.025744889305454</v>
      </c>
      <c r="U57" t="n">
        <v>3.021737456170114</v>
      </c>
      <c r="V57" t="n">
        <v>3.018071081173952</v>
      </c>
      <c r="W57" t="n">
        <v>3.014704002095844</v>
      </c>
      <c r="X57" t="n">
        <v>3.011601007651313</v>
      </c>
    </row>
    <row r="58">
      <c r="A58" t="inlineStr">
        <is>
          <t>100X18X12|PRO 7030|NW|P2Y|N/A|N/A</t>
        </is>
      </c>
      <c r="B58" t="inlineStr">
        <is>
          <t>GB-1001812-M103-02</t>
        </is>
      </c>
      <c r="C58" t="inlineStr">
        <is>
          <t>GB 100x18x12 PRO 7030 NW P2Y</t>
        </is>
      </c>
      <c r="D58" t="n">
        <v>2.5</v>
      </c>
      <c r="E58" t="inlineStr">
        <is>
          <t>100X18X12</t>
        </is>
      </c>
      <c r="F58" t="inlineStr">
        <is>
          <t>PRO 7030</t>
        </is>
      </c>
      <c r="G58" t="inlineStr">
        <is>
          <t>NW</t>
        </is>
      </c>
      <c r="H58" t="inlineStr">
        <is>
          <t>P2Y</t>
        </is>
      </c>
      <c r="I58" t="inlineStr">
        <is>
          <t>N/A</t>
        </is>
      </c>
      <c r="J58" t="inlineStr">
        <is>
          <t>N/A</t>
        </is>
      </c>
      <c r="K58" t="n">
        <v>7200</v>
      </c>
      <c r="L58" t="n">
        <v>8200</v>
      </c>
      <c r="M58" t="n">
        <v>8600</v>
      </c>
      <c r="N58" t="n">
        <v>9000</v>
      </c>
      <c r="O58" t="n">
        <v>9400</v>
      </c>
      <c r="P58" t="n">
        <v>9800</v>
      </c>
      <c r="Q58" t="n">
        <v>10200</v>
      </c>
      <c r="R58" t="n">
        <v>3.086145152779061</v>
      </c>
      <c r="S58" t="n">
        <v>3.073011035033662</v>
      </c>
      <c r="T58" t="n">
        <v>3.068612632811948</v>
      </c>
      <c r="U58" t="n">
        <v>3.064605199676607</v>
      </c>
      <c r="V58" t="n">
        <v>3.060938824680445</v>
      </c>
      <c r="W58" t="n">
        <v>3.057571745602337</v>
      </c>
      <c r="X58" t="n">
        <v>3.054468751157806</v>
      </c>
    </row>
    <row r="59">
      <c r="A59" t="inlineStr">
        <is>
          <t>100X18X12|PRO 7030|NW|P1Y|HOLES|N/A</t>
        </is>
      </c>
      <c r="B59" t="inlineStr">
        <is>
          <t>GB-1001812-M103-03</t>
        </is>
      </c>
      <c r="C59" t="inlineStr">
        <is>
          <t>GB 100x18x12 PRO 7030 NW P1Y + HOLES</t>
        </is>
      </c>
      <c r="D59" t="n">
        <v>2.5</v>
      </c>
      <c r="E59" t="inlineStr">
        <is>
          <t>100X18X12</t>
        </is>
      </c>
      <c r="F59" t="inlineStr">
        <is>
          <t>PRO 7030</t>
        </is>
      </c>
      <c r="G59" t="inlineStr">
        <is>
          <t>NW</t>
        </is>
      </c>
      <c r="H59" t="inlineStr">
        <is>
          <t>P1Y</t>
        </is>
      </c>
      <c r="I59" t="inlineStr">
        <is>
          <t>HOLES</t>
        </is>
      </c>
      <c r="J59" t="inlineStr">
        <is>
          <t>N/A</t>
        </is>
      </c>
      <c r="K59" t="n">
        <v>7200</v>
      </c>
      <c r="L59" t="n">
        <v>8200</v>
      </c>
      <c r="M59" t="n">
        <v>8600</v>
      </c>
      <c r="N59" t="n">
        <v>9000</v>
      </c>
      <c r="O59" t="n">
        <v>9400</v>
      </c>
      <c r="P59" t="n">
        <v>9800</v>
      </c>
      <c r="Q59" t="n">
        <v>10200</v>
      </c>
      <c r="R59" t="n">
        <v>3.043277409272567</v>
      </c>
      <c r="S59" t="n">
        <v>3.030143291527169</v>
      </c>
      <c r="T59" t="n">
        <v>3.025744889305454</v>
      </c>
      <c r="U59" t="n">
        <v>3.021737456170114</v>
      </c>
      <c r="V59" t="n">
        <v>3.018071081173952</v>
      </c>
      <c r="W59" t="n">
        <v>3.014704002095844</v>
      </c>
      <c r="X59" t="n">
        <v>3.011601007651313</v>
      </c>
    </row>
    <row r="60">
      <c r="A60" t="inlineStr">
        <is>
          <t>100X18X12|PRO 7030|NW|P2Y|HOLES|N/A</t>
        </is>
      </c>
      <c r="B60" t="inlineStr">
        <is>
          <t>GB-1001812-M103-04</t>
        </is>
      </c>
      <c r="C60" t="inlineStr">
        <is>
          <t>GB 100X18X12 M103 PRO 7030 NW P2Y + HOLES</t>
        </is>
      </c>
      <c r="D60" t="n">
        <v>2.5</v>
      </c>
      <c r="E60" t="inlineStr">
        <is>
          <t>100X18X12</t>
        </is>
      </c>
      <c r="F60" t="inlineStr">
        <is>
          <t>PRO 7030</t>
        </is>
      </c>
      <c r="G60" t="inlineStr">
        <is>
          <t>NW</t>
        </is>
      </c>
      <c r="H60" t="inlineStr">
        <is>
          <t>P2Y</t>
        </is>
      </c>
      <c r="I60" t="inlineStr">
        <is>
          <t>HOLES</t>
        </is>
      </c>
      <c r="J60" t="inlineStr">
        <is>
          <t>N/A</t>
        </is>
      </c>
      <c r="K60" t="n">
        <v>7200</v>
      </c>
      <c r="L60" t="n">
        <v>8200</v>
      </c>
      <c r="M60" t="n">
        <v>8600</v>
      </c>
      <c r="N60" t="n">
        <v>9000</v>
      </c>
      <c r="O60" t="n">
        <v>9400</v>
      </c>
      <c r="P60" t="n">
        <v>9800</v>
      </c>
      <c r="Q60" t="n">
        <v>10200</v>
      </c>
      <c r="R60" t="n">
        <v>3.086145152779061</v>
      </c>
      <c r="S60" t="n">
        <v>3.073011035033662</v>
      </c>
      <c r="T60" t="n">
        <v>3.068612632811948</v>
      </c>
      <c r="U60" t="n">
        <v>3.064605199676607</v>
      </c>
      <c r="V60" t="n">
        <v>3.060938824680445</v>
      </c>
      <c r="W60" t="n">
        <v>3.057571745602337</v>
      </c>
      <c r="X60" t="n">
        <v>3.054468751157806</v>
      </c>
    </row>
    <row r="61">
      <c r="A61" t="inlineStr">
        <is>
          <t>100X18X12|PRO 7030|NW|P1Y|N/A|N/A</t>
        </is>
      </c>
      <c r="B61" t="inlineStr">
        <is>
          <t>GB-1001812-M103-06</t>
        </is>
      </c>
      <c r="C61" t="inlineStr">
        <is>
          <t>GB 100x18x12 PRO 7030 NW P1Y</t>
        </is>
      </c>
      <c r="D61" t="n">
        <v>2.5</v>
      </c>
      <c r="E61" t="inlineStr">
        <is>
          <t>100X18X12</t>
        </is>
      </c>
      <c r="F61" t="inlineStr">
        <is>
          <t>PRO 7030</t>
        </is>
      </c>
      <c r="G61" t="inlineStr">
        <is>
          <t>NW</t>
        </is>
      </c>
      <c r="H61" t="inlineStr">
        <is>
          <t>P1Y</t>
        </is>
      </c>
      <c r="I61" t="inlineStr">
        <is>
          <t>N/A</t>
        </is>
      </c>
      <c r="J61" t="inlineStr">
        <is>
          <t>N/A</t>
        </is>
      </c>
      <c r="K61" t="n">
        <v>7200</v>
      </c>
      <c r="L61" t="n">
        <v>8200</v>
      </c>
      <c r="M61" t="n">
        <v>8600</v>
      </c>
      <c r="N61" t="n">
        <v>9000</v>
      </c>
      <c r="O61" t="n">
        <v>9400</v>
      </c>
      <c r="P61" t="n">
        <v>9800</v>
      </c>
      <c r="Q61" t="n">
        <v>10200</v>
      </c>
      <c r="R61" t="n">
        <v>3.043277409272567</v>
      </c>
      <c r="S61" t="n">
        <v>3.030143291527169</v>
      </c>
      <c r="T61" t="n">
        <v>3.025744889305454</v>
      </c>
      <c r="U61" t="n">
        <v>3.021737456170114</v>
      </c>
      <c r="V61" t="n">
        <v>3.018071081173952</v>
      </c>
      <c r="W61" t="n">
        <v>3.014704002095844</v>
      </c>
      <c r="X61" t="n">
        <v>3.011601007651313</v>
      </c>
    </row>
    <row r="62">
      <c r="A62" t="inlineStr">
        <is>
          <t>100X18X12|PRO 7030|NW|P3Y|HOLES|N/A</t>
        </is>
      </c>
      <c r="B62" t="inlineStr">
        <is>
          <t>GB-1001812-M103-10</t>
        </is>
      </c>
      <c r="C62" t="inlineStr">
        <is>
          <t>GB 100x18x12 PRO 7030 NW P3Y + HOLES</t>
        </is>
      </c>
      <c r="D62" t="n">
        <v>2.5</v>
      </c>
      <c r="E62" t="inlineStr">
        <is>
          <t>100X18X12</t>
        </is>
      </c>
      <c r="F62" t="inlineStr">
        <is>
          <t>PRO 7030</t>
        </is>
      </c>
      <c r="G62" t="inlineStr">
        <is>
          <t>NW</t>
        </is>
      </c>
      <c r="H62" t="inlineStr">
        <is>
          <t>P3Y</t>
        </is>
      </c>
      <c r="I62" t="inlineStr">
        <is>
          <t>HOLES</t>
        </is>
      </c>
      <c r="J62" t="inlineStr">
        <is>
          <t>N/A</t>
        </is>
      </c>
      <c r="K62" t="n">
        <v>7200</v>
      </c>
      <c r="L62" t="n">
        <v>8200</v>
      </c>
      <c r="M62" t="n">
        <v>8600</v>
      </c>
      <c r="N62" t="n">
        <v>9000</v>
      </c>
      <c r="O62" t="n">
        <v>9400</v>
      </c>
      <c r="P62" t="n">
        <v>9800</v>
      </c>
      <c r="Q62" t="n">
        <v>10200</v>
      </c>
      <c r="R62" t="n">
        <v>3.171880639792048</v>
      </c>
      <c r="S62" t="n">
        <v>3.158746522046649</v>
      </c>
      <c r="T62" t="n">
        <v>3.154348119824935</v>
      </c>
      <c r="U62" t="n">
        <v>3.150340686689595</v>
      </c>
      <c r="V62" t="n">
        <v>3.146674311693432</v>
      </c>
      <c r="W62" t="n">
        <v>3.143307232615324</v>
      </c>
      <c r="X62" t="n">
        <v>3.140204238170793</v>
      </c>
    </row>
    <row r="63">
      <c r="A63" t="inlineStr">
        <is>
          <t>100X18X12|PRO 7030|NW|P1Y|HOLES|N/A</t>
        </is>
      </c>
      <c r="B63" t="inlineStr">
        <is>
          <t>GB-1001812-M103-11</t>
        </is>
      </c>
      <c r="C63" t="inlineStr">
        <is>
          <t>GB 100x18x12 PRO 7030 NW P1Y + HOLES</t>
        </is>
      </c>
      <c r="D63" t="n">
        <v>2.5</v>
      </c>
      <c r="E63" t="inlineStr">
        <is>
          <t>100X18X12</t>
        </is>
      </c>
      <c r="F63" t="inlineStr">
        <is>
          <t>PRO 7030</t>
        </is>
      </c>
      <c r="G63" t="inlineStr">
        <is>
          <t>NW</t>
        </is>
      </c>
      <c r="H63" t="inlineStr">
        <is>
          <t>P1Y</t>
        </is>
      </c>
      <c r="I63" t="inlineStr">
        <is>
          <t>HOLES</t>
        </is>
      </c>
      <c r="J63" t="inlineStr">
        <is>
          <t>N/A</t>
        </is>
      </c>
      <c r="K63" t="n">
        <v>7200</v>
      </c>
      <c r="L63" t="n">
        <v>8200</v>
      </c>
      <c r="M63" t="n">
        <v>8600</v>
      </c>
      <c r="N63" t="n">
        <v>9000</v>
      </c>
      <c r="O63" t="n">
        <v>9400</v>
      </c>
      <c r="P63" t="n">
        <v>9800</v>
      </c>
      <c r="Q63" t="n">
        <v>10200</v>
      </c>
      <c r="R63" t="n">
        <v>3.043277409272567</v>
      </c>
      <c r="S63" t="n">
        <v>3.030143291527169</v>
      </c>
      <c r="T63" t="n">
        <v>3.025744889305454</v>
      </c>
      <c r="U63" t="n">
        <v>3.021737456170114</v>
      </c>
      <c r="V63" t="n">
        <v>3.018071081173952</v>
      </c>
      <c r="W63" t="n">
        <v>3.014704002095844</v>
      </c>
      <c r="X63" t="n">
        <v>3.011601007651313</v>
      </c>
    </row>
    <row r="64">
      <c r="A64" t="inlineStr">
        <is>
          <t>100X18X12|PRO 6040|NW|P1Y|HOLES|N/A</t>
        </is>
      </c>
      <c r="B64" t="inlineStr">
        <is>
          <t>GB-1001812-M104-03</t>
        </is>
      </c>
      <c r="C64" t="inlineStr">
        <is>
          <t>GB 100x18x12 PRO 6040 NW P1Y+HOLES</t>
        </is>
      </c>
      <c r="D64" t="n">
        <v>2.5</v>
      </c>
      <c r="E64" t="inlineStr">
        <is>
          <t>100X18X12</t>
        </is>
      </c>
      <c r="F64" t="inlineStr">
        <is>
          <t>PRO 6040</t>
        </is>
      </c>
      <c r="G64" t="inlineStr">
        <is>
          <t>NW</t>
        </is>
      </c>
      <c r="H64" t="inlineStr">
        <is>
          <t>P1Y</t>
        </is>
      </c>
      <c r="I64" t="inlineStr">
        <is>
          <t>HOLES</t>
        </is>
      </c>
      <c r="J64" t="inlineStr">
        <is>
          <t>N/A</t>
        </is>
      </c>
      <c r="K64" t="n">
        <v>7200</v>
      </c>
      <c r="L64" t="n">
        <v>8200</v>
      </c>
      <c r="M64" t="n">
        <v>8600</v>
      </c>
      <c r="N64" t="n">
        <v>9000</v>
      </c>
      <c r="O64" t="n">
        <v>9400</v>
      </c>
      <c r="P64" t="n">
        <v>9800</v>
      </c>
      <c r="Q64" t="n">
        <v>10200</v>
      </c>
      <c r="R64" t="n">
        <v>3.201841568953347</v>
      </c>
      <c r="S64" t="n">
        <v>3.188707451207949</v>
      </c>
      <c r="T64" t="n">
        <v>3.184309048986234</v>
      </c>
      <c r="U64" t="n">
        <v>3.180301615850894</v>
      </c>
      <c r="V64" t="n">
        <v>3.176635240854732</v>
      </c>
      <c r="W64" t="n">
        <v>3.173268161776623</v>
      </c>
      <c r="X64" t="n">
        <v>3.170165167332092</v>
      </c>
    </row>
    <row r="65">
      <c r="A65" t="inlineStr">
        <is>
          <t>100X18X12|PRO 5050|NW|P2Y|HOLES|N/A</t>
        </is>
      </c>
      <c r="B65" t="inlineStr">
        <is>
          <t>GB-1001812-M105-01</t>
        </is>
      </c>
      <c r="C65" t="inlineStr">
        <is>
          <t>GB 100x18x12 PRO 5050 NW P2Y + HOLES</t>
        </is>
      </c>
      <c r="D65" t="n">
        <v>2.45</v>
      </c>
      <c r="E65" t="inlineStr">
        <is>
          <t>100X18X12</t>
        </is>
      </c>
      <c r="F65" t="inlineStr">
        <is>
          <t>PRO 5050</t>
        </is>
      </c>
      <c r="G65" t="inlineStr">
        <is>
          <t>NW</t>
        </is>
      </c>
      <c r="H65" t="inlineStr">
        <is>
          <t>P2Y</t>
        </is>
      </c>
      <c r="I65" t="inlineStr">
        <is>
          <t>HOLES</t>
        </is>
      </c>
      <c r="J65" t="inlineStr">
        <is>
          <t>N/A</t>
        </is>
      </c>
      <c r="K65" t="n">
        <v>7400</v>
      </c>
      <c r="L65" t="n">
        <v>8400</v>
      </c>
      <c r="M65" t="n">
        <v>8800</v>
      </c>
      <c r="N65" t="n">
        <v>9200</v>
      </c>
      <c r="O65" t="n">
        <v>9600</v>
      </c>
      <c r="P65" t="n">
        <v>10000</v>
      </c>
      <c r="Q65" t="n">
        <v>10400</v>
      </c>
      <c r="R65" t="n">
        <v>3.348432291470532</v>
      </c>
      <c r="S65" t="n">
        <v>3.33595741515637</v>
      </c>
      <c r="T65" t="n">
        <v>3.331761320396152</v>
      </c>
      <c r="U65" t="n">
        <v>3.32793010344117</v>
      </c>
      <c r="V65" t="n">
        <v>3.32441815456577</v>
      </c>
      <c r="W65" t="n">
        <v>3.321187161600402</v>
      </c>
      <c r="X65" t="n">
        <v>3.318204706555447</v>
      </c>
    </row>
    <row r="66">
      <c r="A66" t="inlineStr">
        <is>
          <t>100X18X12|PRO 5050|NW|P2Y|N/A|N/A</t>
        </is>
      </c>
      <c r="B66" t="inlineStr">
        <is>
          <t>GB-1001812-M105-02</t>
        </is>
      </c>
      <c r="C66" t="inlineStr">
        <is>
          <t>GB 100x18x12 PRO 5050 NW P2Y</t>
        </is>
      </c>
      <c r="D66" t="n">
        <v>2.45</v>
      </c>
      <c r="E66" t="inlineStr">
        <is>
          <t>100X18X12</t>
        </is>
      </c>
      <c r="F66" t="inlineStr">
        <is>
          <t>PRO 5050</t>
        </is>
      </c>
      <c r="G66" t="inlineStr">
        <is>
          <t>NW</t>
        </is>
      </c>
      <c r="H66" t="inlineStr">
        <is>
          <t>P2Y</t>
        </is>
      </c>
      <c r="I66" t="inlineStr">
        <is>
          <t>N/A</t>
        </is>
      </c>
      <c r="J66" t="inlineStr">
        <is>
          <t>N/A</t>
        </is>
      </c>
      <c r="K66" t="n">
        <v>7400</v>
      </c>
      <c r="L66" t="n">
        <v>8400</v>
      </c>
      <c r="M66" t="n">
        <v>8800</v>
      </c>
      <c r="N66" t="n">
        <v>9200</v>
      </c>
      <c r="O66" t="n">
        <v>9600</v>
      </c>
      <c r="P66" t="n">
        <v>10000</v>
      </c>
      <c r="Q66" t="n">
        <v>10400</v>
      </c>
      <c r="R66" t="n">
        <v>3.348432291470532</v>
      </c>
      <c r="S66" t="n">
        <v>3.33595741515637</v>
      </c>
      <c r="T66" t="n">
        <v>3.331761320396152</v>
      </c>
      <c r="U66" t="n">
        <v>3.32793010344117</v>
      </c>
      <c r="V66" t="n">
        <v>3.32441815456577</v>
      </c>
      <c r="W66" t="n">
        <v>3.321187161600402</v>
      </c>
      <c r="X66" t="n">
        <v>3.318204706555447</v>
      </c>
    </row>
    <row r="67">
      <c r="A67" t="inlineStr">
        <is>
          <t>100X18X12|PRO 4060|NW|P2Y|HOLES|N/A</t>
        </is>
      </c>
      <c r="B67" t="inlineStr">
        <is>
          <t>GB-1001812-M106-07</t>
        </is>
      </c>
      <c r="C67" t="inlineStr">
        <is>
          <t>GB 100x18x12 PRO 4060 NW P2Y + HOLES</t>
        </is>
      </c>
      <c r="D67" t="n">
        <v>2.4</v>
      </c>
      <c r="E67" t="inlineStr">
        <is>
          <t>100X18X12</t>
        </is>
      </c>
      <c r="F67" t="inlineStr">
        <is>
          <t>PRO 4060</t>
        </is>
      </c>
      <c r="G67" t="inlineStr">
        <is>
          <t>NW</t>
        </is>
      </c>
      <c r="H67" t="inlineStr">
        <is>
          <t>P2Y</t>
        </is>
      </c>
      <c r="I67" t="inlineStr">
        <is>
          <t>HOLES</t>
        </is>
      </c>
      <c r="J67" t="inlineStr">
        <is>
          <t>N/A</t>
        </is>
      </c>
      <c r="K67" t="n">
        <v>7600</v>
      </c>
      <c r="L67" t="n">
        <v>8600</v>
      </c>
      <c r="M67" t="n">
        <v>9000</v>
      </c>
      <c r="N67" t="n">
        <v>9400</v>
      </c>
      <c r="O67" t="n">
        <v>9800</v>
      </c>
      <c r="P67" t="n">
        <v>10200</v>
      </c>
      <c r="Q67" t="n">
        <v>10600</v>
      </c>
      <c r="R67" t="n">
        <v>3.446031275216991</v>
      </c>
      <c r="S67" t="n">
        <v>3.43416716396105</v>
      </c>
      <c r="T67" t="n">
        <v>3.43015973082571</v>
      </c>
      <c r="U67" t="n">
        <v>3.426493355829547</v>
      </c>
      <c r="V67" t="n">
        <v>3.423126276751439</v>
      </c>
      <c r="W67" t="n">
        <v>3.420023282306908</v>
      </c>
      <c r="X67" t="n">
        <v>3.417154476122342</v>
      </c>
    </row>
    <row r="68">
      <c r="A68" t="inlineStr">
        <is>
          <t>100X18X12|PLF 3070|NW|P2Y|HOLES|N/A</t>
        </is>
      </c>
      <c r="B68" t="inlineStr">
        <is>
          <t>GB-1001812-M107-01</t>
        </is>
      </c>
      <c r="C68" t="inlineStr">
        <is>
          <t>GB 100x18x12 PLF 3070 NW P2Y + HOLES</t>
        </is>
      </c>
      <c r="D68" t="n">
        <v>2.4</v>
      </c>
      <c r="E68" t="inlineStr">
        <is>
          <t>100X18X12</t>
        </is>
      </c>
      <c r="F68" t="inlineStr">
        <is>
          <t>PLF 3070</t>
        </is>
      </c>
      <c r="G68" t="inlineStr">
        <is>
          <t>NW</t>
        </is>
      </c>
      <c r="H68" t="inlineStr">
        <is>
          <t>P2Y</t>
        </is>
      </c>
      <c r="I68" t="inlineStr">
        <is>
          <t>HOLES</t>
        </is>
      </c>
      <c r="J68" t="inlineStr">
        <is>
          <t>N/A</t>
        </is>
      </c>
      <c r="K68" t="n">
        <v>7600</v>
      </c>
      <c r="L68" t="n">
        <v>8600</v>
      </c>
      <c r="M68" t="n">
        <v>9000</v>
      </c>
      <c r="N68" t="n">
        <v>9400</v>
      </c>
      <c r="O68" t="n">
        <v>9800</v>
      </c>
      <c r="P68" t="n">
        <v>10200</v>
      </c>
      <c r="Q68" t="n">
        <v>10600</v>
      </c>
      <c r="R68" t="n">
        <v>3.185720582656919</v>
      </c>
      <c r="S68" t="n">
        <v>3.173856471400978</v>
      </c>
      <c r="T68" t="n">
        <v>3.169849038265638</v>
      </c>
      <c r="U68" t="n">
        <v>3.166182663269475</v>
      </c>
      <c r="V68" t="n">
        <v>3.162815584191367</v>
      </c>
      <c r="W68" t="n">
        <v>3.159712589746837</v>
      </c>
      <c r="X68" t="n">
        <v>3.15684378356227</v>
      </c>
    </row>
    <row r="69">
      <c r="A69" t="inlineStr">
        <is>
          <t>100X18X12|PLF 3070|NW|P2Y|N/A|N/A</t>
        </is>
      </c>
      <c r="B69" t="inlineStr">
        <is>
          <t>GB-1001812-M107-06</t>
        </is>
      </c>
      <c r="C69" t="inlineStr">
        <is>
          <t>GB 100X18X12 PLF 3070 NW P2Y</t>
        </is>
      </c>
      <c r="D69" t="n">
        <v>2.4</v>
      </c>
      <c r="E69" t="inlineStr">
        <is>
          <t>100X18X12</t>
        </is>
      </c>
      <c r="F69" t="inlineStr">
        <is>
          <t>PLF 3070</t>
        </is>
      </c>
      <c r="G69" t="inlineStr">
        <is>
          <t>NW</t>
        </is>
      </c>
      <c r="H69" t="inlineStr">
        <is>
          <t>P2Y</t>
        </is>
      </c>
      <c r="I69" t="inlineStr">
        <is>
          <t>N/A</t>
        </is>
      </c>
      <c r="J69" t="inlineStr">
        <is>
          <t>N/A</t>
        </is>
      </c>
      <c r="K69" t="n">
        <v>7600</v>
      </c>
      <c r="L69" t="n">
        <v>8600</v>
      </c>
      <c r="M69" t="n">
        <v>9000</v>
      </c>
      <c r="N69" t="n">
        <v>9400</v>
      </c>
      <c r="O69" t="n">
        <v>9800</v>
      </c>
      <c r="P69" t="n">
        <v>10200</v>
      </c>
      <c r="Q69" t="n">
        <v>10600</v>
      </c>
      <c r="R69" t="n">
        <v>3.185720582656919</v>
      </c>
      <c r="S69" t="n">
        <v>3.173856471400978</v>
      </c>
      <c r="T69" t="n">
        <v>3.169849038265638</v>
      </c>
      <c r="U69" t="n">
        <v>3.166182663269475</v>
      </c>
      <c r="V69" t="n">
        <v>3.162815584191367</v>
      </c>
      <c r="W69" t="n">
        <v>3.159712589746837</v>
      </c>
      <c r="X69" t="n">
        <v>3.15684378356227</v>
      </c>
    </row>
    <row r="70">
      <c r="A70" t="inlineStr">
        <is>
          <t>100X18X12|PLF 3070|NW|P2Y|HOLES|N/A</t>
        </is>
      </c>
      <c r="B70" t="inlineStr">
        <is>
          <t>GB-1001812-M107-07</t>
        </is>
      </c>
      <c r="C70" t="inlineStr">
        <is>
          <t>GB 100x18x12 PLF 3070 NW P2Y+HOLES</t>
        </is>
      </c>
      <c r="D70" t="n">
        <v>2.4</v>
      </c>
      <c r="E70" t="inlineStr">
        <is>
          <t>100X18X12</t>
        </is>
      </c>
      <c r="F70" t="inlineStr">
        <is>
          <t>PLF 3070</t>
        </is>
      </c>
      <c r="G70" t="inlineStr">
        <is>
          <t>NW</t>
        </is>
      </c>
      <c r="H70" t="inlineStr">
        <is>
          <t>P2Y</t>
        </is>
      </c>
      <c r="I70" t="inlineStr">
        <is>
          <t>HOLES</t>
        </is>
      </c>
      <c r="J70" t="inlineStr">
        <is>
          <t>N/A</t>
        </is>
      </c>
      <c r="K70" t="n">
        <v>7600</v>
      </c>
      <c r="L70" t="n">
        <v>8600</v>
      </c>
      <c r="M70" t="n">
        <v>9000</v>
      </c>
      <c r="N70" t="n">
        <v>9400</v>
      </c>
      <c r="O70" t="n">
        <v>9800</v>
      </c>
      <c r="P70" t="n">
        <v>10200</v>
      </c>
      <c r="Q70" t="n">
        <v>10600</v>
      </c>
      <c r="R70" t="n">
        <v>3.188635846293283</v>
      </c>
      <c r="S70" t="n">
        <v>3.176771735037342</v>
      </c>
      <c r="T70" t="n">
        <v>3.172764301902002</v>
      </c>
      <c r="U70" t="n">
        <v>3.169097926905839</v>
      </c>
      <c r="V70" t="n">
        <v>3.165730847827732</v>
      </c>
      <c r="W70" t="n">
        <v>3.162627853383201</v>
      </c>
      <c r="X70" t="n">
        <v>3.159759047198634</v>
      </c>
    </row>
    <row r="71">
      <c r="A71" t="inlineStr">
        <is>
          <t>100X18X12|PLF 3070|NW|P2Y|HOLES|N/A</t>
        </is>
      </c>
      <c r="B71" t="inlineStr">
        <is>
          <t>GB-1001812-M107-10</t>
        </is>
      </c>
      <c r="C71" t="inlineStr">
        <is>
          <t>GB 100x18x12 PLF 3070 NW P2Y+HOLES</t>
        </is>
      </c>
      <c r="D71" t="n">
        <v>2.4</v>
      </c>
      <c r="E71" t="inlineStr">
        <is>
          <t>100X18X12</t>
        </is>
      </c>
      <c r="F71" t="inlineStr">
        <is>
          <t>PLF 3070</t>
        </is>
      </c>
      <c r="G71" t="inlineStr">
        <is>
          <t>NW</t>
        </is>
      </c>
      <c r="H71" t="inlineStr">
        <is>
          <t>P2Y</t>
        </is>
      </c>
      <c r="I71" t="inlineStr">
        <is>
          <t>HOLES</t>
        </is>
      </c>
      <c r="J71" t="inlineStr">
        <is>
          <t>N/A</t>
        </is>
      </c>
      <c r="K71" t="n">
        <v>7600</v>
      </c>
      <c r="L71" t="n">
        <v>8600</v>
      </c>
      <c r="M71" t="n">
        <v>9000</v>
      </c>
      <c r="N71" t="n">
        <v>9400</v>
      </c>
      <c r="O71" t="n">
        <v>9800</v>
      </c>
      <c r="P71" t="n">
        <v>10200</v>
      </c>
      <c r="Q71" t="n">
        <v>10600</v>
      </c>
      <c r="R71" t="n">
        <v>3.185720582656919</v>
      </c>
      <c r="S71" t="n">
        <v>3.173856471400978</v>
      </c>
      <c r="T71" t="n">
        <v>3.169849038265638</v>
      </c>
      <c r="U71" t="n">
        <v>3.166182663269475</v>
      </c>
      <c r="V71" t="n">
        <v>3.162815584191367</v>
      </c>
      <c r="W71" t="n">
        <v>3.159712589746837</v>
      </c>
      <c r="X71" t="n">
        <v>3.15684378356227</v>
      </c>
    </row>
    <row r="72">
      <c r="A72" t="inlineStr">
        <is>
          <t>100X18X12|PLF 3070|NW|P1Y|HOLES|N/A</t>
        </is>
      </c>
      <c r="B72" t="inlineStr">
        <is>
          <t>GB-1001812-M107-13</t>
        </is>
      </c>
      <c r="C72" t="inlineStr">
        <is>
          <t>GB 100x18x12 PLF 3070 NW P1Y + HOLES</t>
        </is>
      </c>
      <c r="D72" t="n">
        <v>2.4</v>
      </c>
      <c r="E72" t="inlineStr">
        <is>
          <t>100X18X12</t>
        </is>
      </c>
      <c r="F72" t="inlineStr">
        <is>
          <t>PLF 3070</t>
        </is>
      </c>
      <c r="G72" t="inlineStr">
        <is>
          <t>NW</t>
        </is>
      </c>
      <c r="H72" t="inlineStr">
        <is>
          <t>P1Y</t>
        </is>
      </c>
      <c r="I72" t="inlineStr">
        <is>
          <t>HOLES</t>
        </is>
      </c>
      <c r="J72" t="inlineStr">
        <is>
          <t>N/A</t>
        </is>
      </c>
      <c r="K72" t="n">
        <v>7600</v>
      </c>
      <c r="L72" t="n">
        <v>8600</v>
      </c>
      <c r="M72" t="n">
        <v>9000</v>
      </c>
      <c r="N72" t="n">
        <v>9400</v>
      </c>
      <c r="O72" t="n">
        <v>9800</v>
      </c>
      <c r="P72" t="n">
        <v>10200</v>
      </c>
      <c r="Q72" t="n">
        <v>10600</v>
      </c>
      <c r="R72" t="n">
        <v>3.142852839150426</v>
      </c>
      <c r="S72" t="n">
        <v>3.130988727894484</v>
      </c>
      <c r="T72" t="n">
        <v>3.126981294759145</v>
      </c>
      <c r="U72" t="n">
        <v>3.123314919762982</v>
      </c>
      <c r="V72" t="n">
        <v>3.119947840684874</v>
      </c>
      <c r="W72" t="n">
        <v>3.116844846240343</v>
      </c>
      <c r="X72" t="n">
        <v>3.113976040055777</v>
      </c>
    </row>
    <row r="73">
      <c r="A73" t="inlineStr">
        <is>
          <t>100X18X14|16MM|NW|P2Y|HOLES|N/A</t>
        </is>
      </c>
      <c r="B73" t="inlineStr">
        <is>
          <t>GB-1001814-M003-02</t>
        </is>
      </c>
      <c r="C73" t="inlineStr">
        <is>
          <t>GB 100x18x14 16mm NW P2Y + HOLES</t>
        </is>
      </c>
      <c r="D73" t="n">
        <v>2.7</v>
      </c>
      <c r="E73" t="inlineStr">
        <is>
          <t>100X18X14</t>
        </is>
      </c>
      <c r="F73" t="inlineStr">
        <is>
          <t>16MM</t>
        </is>
      </c>
      <c r="G73" t="inlineStr">
        <is>
          <t>NW</t>
        </is>
      </c>
      <c r="H73" t="inlineStr">
        <is>
          <t>P2Y</t>
        </is>
      </c>
      <c r="I73" t="inlineStr">
        <is>
          <t>HOLES</t>
        </is>
      </c>
      <c r="J73" t="inlineStr">
        <is>
          <t>N/A</t>
        </is>
      </c>
      <c r="K73" t="n">
        <v>6600</v>
      </c>
      <c r="L73" t="n">
        <v>7600</v>
      </c>
      <c r="M73" t="n">
        <v>8000</v>
      </c>
      <c r="N73" t="n">
        <v>8400</v>
      </c>
      <c r="O73" t="n">
        <v>8800</v>
      </c>
      <c r="P73" t="n">
        <v>9000</v>
      </c>
      <c r="Q73" t="n">
        <v>9400</v>
      </c>
      <c r="R73" t="n">
        <v>4.515861447983747</v>
      </c>
      <c r="S73" t="n">
        <v>4.500402151498731</v>
      </c>
      <c r="T73" t="n">
        <v>4.495300583658677</v>
      </c>
      <c r="U73" t="n">
        <v>4.490684879422438</v>
      </c>
      <c r="V73" t="n">
        <v>4.486488784662219</v>
      </c>
      <c r="W73" t="n">
        <v>4.48453060710745</v>
      </c>
      <c r="X73" t="n">
        <v>4.480864232111289</v>
      </c>
    </row>
    <row r="74">
      <c r="A74" t="inlineStr">
        <is>
          <t>100X18X14|16MM|NW|P3Y|HOLES|N/A</t>
        </is>
      </c>
      <c r="B74" t="inlineStr">
        <is>
          <t>GB-1001814-M003-04</t>
        </is>
      </c>
      <c r="C74" t="inlineStr">
        <is>
          <t>GB 100x18x14 16mm NW P3Y + HOLES</t>
        </is>
      </c>
      <c r="D74" t="n">
        <v>2.75</v>
      </c>
      <c r="E74" t="inlineStr">
        <is>
          <t>100X18X14</t>
        </is>
      </c>
      <c r="F74" t="inlineStr">
        <is>
          <t>16MM</t>
        </is>
      </c>
      <c r="G74" t="inlineStr">
        <is>
          <t>NW</t>
        </is>
      </c>
      <c r="H74" t="inlineStr">
        <is>
          <t>P3Y</t>
        </is>
      </c>
      <c r="I74" t="inlineStr">
        <is>
          <t>HOLES</t>
        </is>
      </c>
      <c r="J74" t="inlineStr">
        <is>
          <t>N/A</t>
        </is>
      </c>
      <c r="K74" t="n">
        <v>6600</v>
      </c>
      <c r="L74" t="n">
        <v>7400</v>
      </c>
      <c r="M74" t="n">
        <v>7800</v>
      </c>
      <c r="N74" t="n">
        <v>8200</v>
      </c>
      <c r="O74" t="n">
        <v>8600</v>
      </c>
      <c r="P74" t="n">
        <v>9000</v>
      </c>
      <c r="Q74" t="n">
        <v>9200</v>
      </c>
      <c r="R74" t="n">
        <v>4.679010929519417</v>
      </c>
      <c r="S74" t="n">
        <v>4.66630923727227</v>
      </c>
      <c r="T74" t="n">
        <v>4.660935444398477</v>
      </c>
      <c r="U74" t="n">
        <v>4.656085924000177</v>
      </c>
      <c r="V74" t="n">
        <v>4.651687521778462</v>
      </c>
      <c r="W74" t="n">
        <v>4.647680088643121</v>
      </c>
      <c r="X74" t="n">
        <v>4.645807049242908</v>
      </c>
    </row>
    <row r="75">
      <c r="A75" t="inlineStr">
        <is>
          <t>100X18X14|16MM|NW|P3Y|HOLES|N/A</t>
        </is>
      </c>
      <c r="B75" t="inlineStr">
        <is>
          <t>GB-1001814-M003-21</t>
        </is>
      </c>
      <c r="C75" t="inlineStr">
        <is>
          <t>GB 100x18x14 16mm NW P3Y+HOLES</t>
        </is>
      </c>
      <c r="D75" t="n">
        <v>2.75</v>
      </c>
      <c r="E75" t="inlineStr">
        <is>
          <t>100X18X14</t>
        </is>
      </c>
      <c r="F75" t="inlineStr">
        <is>
          <t>16MM</t>
        </is>
      </c>
      <c r="G75" t="inlineStr">
        <is>
          <t>NW</t>
        </is>
      </c>
      <c r="H75" t="inlineStr">
        <is>
          <t>P3Y</t>
        </is>
      </c>
      <c r="I75" t="inlineStr">
        <is>
          <t>HOLES</t>
        </is>
      </c>
      <c r="J75" t="inlineStr">
        <is>
          <t>N/A</t>
        </is>
      </c>
      <c r="K75" t="n">
        <v>6600</v>
      </c>
      <c r="L75" t="n">
        <v>7400</v>
      </c>
      <c r="M75" t="n">
        <v>7800</v>
      </c>
      <c r="N75" t="n">
        <v>8200</v>
      </c>
      <c r="O75" t="n">
        <v>8600</v>
      </c>
      <c r="P75" t="n">
        <v>9000</v>
      </c>
      <c r="Q75" t="n">
        <v>9200</v>
      </c>
      <c r="R75" t="n">
        <v>4.679010929519417</v>
      </c>
      <c r="S75" t="n">
        <v>4.66630923727227</v>
      </c>
      <c r="T75" t="n">
        <v>4.660935444398477</v>
      </c>
      <c r="U75" t="n">
        <v>4.656085924000177</v>
      </c>
      <c r="V75" t="n">
        <v>4.651687521778462</v>
      </c>
      <c r="W75" t="n">
        <v>4.647680088643121</v>
      </c>
      <c r="X75" t="n">
        <v>4.645807049242908</v>
      </c>
    </row>
    <row r="76">
      <c r="A76" t="inlineStr">
        <is>
          <t>100X18X14|PRO 5050|NW|P3Y|HOLES|N/A</t>
        </is>
      </c>
      <c r="B76" t="inlineStr">
        <is>
          <t>GB-1001814-M105-08</t>
        </is>
      </c>
      <c r="C76" t="inlineStr">
        <is>
          <t>GB 100x18x14 PRO 5050 NW P3Y + HOLES</t>
        </is>
      </c>
      <c r="D76" t="n">
        <v>2.9</v>
      </c>
      <c r="E76" t="inlineStr">
        <is>
          <t>100X18X14</t>
        </is>
      </c>
      <c r="F76" t="inlineStr">
        <is>
          <t>PRO 5050</t>
        </is>
      </c>
      <c r="G76" t="inlineStr">
        <is>
          <t>NW</t>
        </is>
      </c>
      <c r="H76" t="inlineStr">
        <is>
          <t>P3Y</t>
        </is>
      </c>
      <c r="I76" t="inlineStr">
        <is>
          <t>HOLES</t>
        </is>
      </c>
      <c r="J76" t="inlineStr">
        <is>
          <t>N/A</t>
        </is>
      </c>
      <c r="K76" t="n">
        <v>6200</v>
      </c>
      <c r="L76" t="n">
        <v>7000</v>
      </c>
      <c r="M76" t="n">
        <v>7400</v>
      </c>
      <c r="N76" t="n">
        <v>7800</v>
      </c>
      <c r="O76" t="n">
        <v>8200</v>
      </c>
      <c r="P76" t="n">
        <v>8400</v>
      </c>
      <c r="Q76" t="n">
        <v>8800</v>
      </c>
      <c r="R76" t="n">
        <v>3.969573361036747</v>
      </c>
      <c r="S76" t="n">
        <v>3.955279567272907</v>
      </c>
      <c r="T76" t="n">
        <v>3.94929162664211</v>
      </c>
      <c r="U76" t="n">
        <v>3.943917833768317</v>
      </c>
      <c r="V76" t="n">
        <v>3.939068313370016</v>
      </c>
      <c r="W76" t="n">
        <v>3.936816750327948</v>
      </c>
      <c r="X76" t="n">
        <v>3.932620655567729</v>
      </c>
    </row>
    <row r="77">
      <c r="A77" t="inlineStr">
        <is>
          <t>100X18X14|PRO 4060|NW|P2Y|N/A|N/A</t>
        </is>
      </c>
      <c r="B77" t="inlineStr">
        <is>
          <t>GB-1001814-M106-02</t>
        </is>
      </c>
      <c r="C77" t="inlineStr">
        <is>
          <t>GB 100x18x14 PRO 4060 NW P2Y</t>
        </is>
      </c>
      <c r="D77" t="n">
        <v>2.8</v>
      </c>
      <c r="E77" t="inlineStr">
        <is>
          <t>100X18X14</t>
        </is>
      </c>
      <c r="F77" t="inlineStr">
        <is>
          <t>PRO 4060</t>
        </is>
      </c>
      <c r="G77" t="inlineStr">
        <is>
          <t>NW</t>
        </is>
      </c>
      <c r="H77" t="inlineStr">
        <is>
          <t>P2Y</t>
        </is>
      </c>
      <c r="I77" t="inlineStr">
        <is>
          <t>N/A</t>
        </is>
      </c>
      <c r="J77" t="inlineStr">
        <is>
          <t>N/A</t>
        </is>
      </c>
      <c r="K77" t="n">
        <v>6400</v>
      </c>
      <c r="L77" t="n">
        <v>7400</v>
      </c>
      <c r="M77" t="n">
        <v>7600</v>
      </c>
      <c r="N77" t="n">
        <v>8000</v>
      </c>
      <c r="O77" t="n">
        <v>8400</v>
      </c>
      <c r="P77" t="n">
        <v>8800</v>
      </c>
      <c r="Q77" t="n">
        <v>9200</v>
      </c>
      <c r="R77" t="n">
        <v>3.945446374006035</v>
      </c>
      <c r="S77" t="n">
        <v>3.929073098843698</v>
      </c>
      <c r="T77" t="n">
        <v>3.92631549460583</v>
      </c>
      <c r="U77" t="n">
        <v>3.921213926765776</v>
      </c>
      <c r="V77" t="n">
        <v>3.916598222529535</v>
      </c>
      <c r="W77" t="n">
        <v>3.912402127769318</v>
      </c>
      <c r="X77" t="n">
        <v>3.908570910814336</v>
      </c>
    </row>
    <row r="78">
      <c r="A78" t="inlineStr">
        <is>
          <t>100X18X14|PLF 3070|NW|P3Y|N/A|N/A</t>
        </is>
      </c>
      <c r="B78" t="inlineStr">
        <is>
          <t>GB-1001814-M107-15</t>
        </is>
      </c>
      <c r="C78" t="inlineStr">
        <is>
          <t>GB 100x18x14 PLF 3070 NW P3Y</t>
        </is>
      </c>
      <c r="D78" t="n">
        <v>2.8</v>
      </c>
      <c r="E78" t="inlineStr">
        <is>
          <t>100X18X14</t>
        </is>
      </c>
      <c r="F78" t="inlineStr">
        <is>
          <t>PLF 3070</t>
        </is>
      </c>
      <c r="G78" t="inlineStr">
        <is>
          <t>NW</t>
        </is>
      </c>
      <c r="H78" t="inlineStr">
        <is>
          <t>P3Y</t>
        </is>
      </c>
      <c r="I78" t="inlineStr">
        <is>
          <t>N/A</t>
        </is>
      </c>
      <c r="J78" t="inlineStr">
        <is>
          <t>N/A</t>
        </is>
      </c>
      <c r="K78" t="n">
        <v>6400</v>
      </c>
      <c r="L78" t="n">
        <v>7400</v>
      </c>
      <c r="M78" t="n">
        <v>7600</v>
      </c>
      <c r="N78" t="n">
        <v>8000</v>
      </c>
      <c r="O78" t="n">
        <v>8400</v>
      </c>
      <c r="P78" t="n">
        <v>8800</v>
      </c>
      <c r="Q78" t="n">
        <v>9200</v>
      </c>
      <c r="R78" t="n">
        <v>3.736805127707597</v>
      </c>
      <c r="S78" t="n">
        <v>3.720431852545259</v>
      </c>
      <c r="T78" t="n">
        <v>3.717674248307392</v>
      </c>
      <c r="U78" t="n">
        <v>3.712572680467338</v>
      </c>
      <c r="V78" t="n">
        <v>3.707956976231097</v>
      </c>
      <c r="W78" t="n">
        <v>3.703760881470879</v>
      </c>
      <c r="X78" t="n">
        <v>3.699929664515897</v>
      </c>
    </row>
    <row r="79">
      <c r="A79" t="inlineStr">
        <is>
          <t>100X18X14|PLF 3070|NW|P3Y|HOLES|N/A</t>
        </is>
      </c>
      <c r="B79" t="inlineStr">
        <is>
          <t>GB-1001814-M107-16</t>
        </is>
      </c>
      <c r="C79" t="inlineStr">
        <is>
          <t>GB 100x18x14 PLF 3070 NW P3Y+HOLES</t>
        </is>
      </c>
      <c r="D79" t="n">
        <v>2.8</v>
      </c>
      <c r="E79" t="inlineStr">
        <is>
          <t>100X18X14</t>
        </is>
      </c>
      <c r="F79" t="inlineStr">
        <is>
          <t>PLF 3070</t>
        </is>
      </c>
      <c r="G79" t="inlineStr">
        <is>
          <t>NW</t>
        </is>
      </c>
      <c r="H79" t="inlineStr">
        <is>
          <t>P3Y</t>
        </is>
      </c>
      <c r="I79" t="inlineStr">
        <is>
          <t>HOLES</t>
        </is>
      </c>
      <c r="J79" t="inlineStr">
        <is>
          <t>N/A</t>
        </is>
      </c>
      <c r="K79" t="n">
        <v>6400</v>
      </c>
      <c r="L79" t="n">
        <v>7400</v>
      </c>
      <c r="M79" t="n">
        <v>7600</v>
      </c>
      <c r="N79" t="n">
        <v>8000</v>
      </c>
      <c r="O79" t="n">
        <v>8400</v>
      </c>
      <c r="P79" t="n">
        <v>8800</v>
      </c>
      <c r="Q79" t="n">
        <v>9200</v>
      </c>
      <c r="R79" t="n">
        <v>3.736805127707597</v>
      </c>
      <c r="S79" t="n">
        <v>3.720431852545259</v>
      </c>
      <c r="T79" t="n">
        <v>3.717674248307392</v>
      </c>
      <c r="U79" t="n">
        <v>3.712572680467338</v>
      </c>
      <c r="V79" t="n">
        <v>3.707956976231097</v>
      </c>
      <c r="W79" t="n">
        <v>3.703760881470879</v>
      </c>
      <c r="X79" t="n">
        <v>3.699929664515897</v>
      </c>
    </row>
    <row r="80">
      <c r="A80" t="inlineStr">
        <is>
          <t>100X18X14|PLF 3070|NW|P1Y|N/A|N/A</t>
        </is>
      </c>
      <c r="B80" t="inlineStr">
        <is>
          <t>GB-1001814-M107-17</t>
        </is>
      </c>
      <c r="C80" t="inlineStr">
        <is>
          <t>GB 100x18x14 PLF 3070 NW P1Y</t>
        </is>
      </c>
      <c r="D80" t="n">
        <v>2.8</v>
      </c>
      <c r="E80" t="inlineStr">
        <is>
          <t>100X18X14</t>
        </is>
      </c>
      <c r="F80" t="inlineStr">
        <is>
          <t>PLF 3070</t>
        </is>
      </c>
      <c r="G80" t="inlineStr">
        <is>
          <t>NW</t>
        </is>
      </c>
      <c r="H80" t="inlineStr">
        <is>
          <t>P1Y</t>
        </is>
      </c>
      <c r="I80" t="inlineStr">
        <is>
          <t>N/A</t>
        </is>
      </c>
      <c r="J80" t="inlineStr">
        <is>
          <t>N/A</t>
        </is>
      </c>
      <c r="K80" t="n">
        <v>6400</v>
      </c>
      <c r="L80" t="n">
        <v>7400</v>
      </c>
      <c r="M80" t="n">
        <v>7600</v>
      </c>
      <c r="N80" t="n">
        <v>8000</v>
      </c>
      <c r="O80" t="n">
        <v>8400</v>
      </c>
      <c r="P80" t="n">
        <v>8800</v>
      </c>
      <c r="Q80" t="n">
        <v>9200</v>
      </c>
      <c r="R80" t="n">
        <v>3.595155192642662</v>
      </c>
      <c r="S80" t="n">
        <v>3.578781917480325</v>
      </c>
      <c r="T80" t="n">
        <v>3.576024313242457</v>
      </c>
      <c r="U80" t="n">
        <v>3.570922745402403</v>
      </c>
      <c r="V80" t="n">
        <v>3.566307041166163</v>
      </c>
      <c r="W80" t="n">
        <v>3.562110946405944</v>
      </c>
      <c r="X80" t="n">
        <v>3.558279729450963</v>
      </c>
    </row>
    <row r="81">
      <c r="A81" t="inlineStr">
        <is>
          <t>100X18X14|PLF 3070|NW|P2Y|HOLES|N/A</t>
        </is>
      </c>
      <c r="B81" t="inlineStr">
        <is>
          <t>GB-1001814-M107-21</t>
        </is>
      </c>
      <c r="C81" t="inlineStr">
        <is>
          <t>GB 100x18x14 PLF 3070 NW P2Y+HOLES</t>
        </is>
      </c>
      <c r="D81" t="n">
        <v>2.8</v>
      </c>
      <c r="E81" t="inlineStr">
        <is>
          <t>100X18X14</t>
        </is>
      </c>
      <c r="F81" t="inlineStr">
        <is>
          <t>PLF 3070</t>
        </is>
      </c>
      <c r="G81" t="inlineStr">
        <is>
          <t>NW</t>
        </is>
      </c>
      <c r="H81" t="inlineStr">
        <is>
          <t>P2Y</t>
        </is>
      </c>
      <c r="I81" t="inlineStr">
        <is>
          <t>HOLES</t>
        </is>
      </c>
      <c r="J81" t="inlineStr">
        <is>
          <t>N/A</t>
        </is>
      </c>
      <c r="K81" t="n">
        <v>6400</v>
      </c>
      <c r="L81" t="n">
        <v>7400</v>
      </c>
      <c r="M81" t="n">
        <v>7600</v>
      </c>
      <c r="N81" t="n">
        <v>8000</v>
      </c>
      <c r="O81" t="n">
        <v>8400</v>
      </c>
      <c r="P81" t="n">
        <v>8800</v>
      </c>
      <c r="Q81" t="n">
        <v>9200</v>
      </c>
      <c r="R81" t="n">
        <v>3.641750566019285</v>
      </c>
      <c r="S81" t="n">
        <v>3.625377290856948</v>
      </c>
      <c r="T81" t="n">
        <v>3.622619686619081</v>
      </c>
      <c r="U81" t="n">
        <v>3.617518118779026</v>
      </c>
      <c r="V81" t="n">
        <v>3.612902414542786</v>
      </c>
      <c r="W81" t="n">
        <v>3.608706319782567</v>
      </c>
      <c r="X81" t="n">
        <v>3.604875102827586</v>
      </c>
    </row>
    <row r="82">
      <c r="A82" t="inlineStr">
        <is>
          <t>100X18X14|PLF 3070|NW|P1Y|HOLES|N/A</t>
        </is>
      </c>
      <c r="B82" t="inlineStr">
        <is>
          <t>GB-1001814-M107-22</t>
        </is>
      </c>
      <c r="C82" t="inlineStr">
        <is>
          <t>GB 100x18x14 PLF 3070 NW P1Y+HOLES</t>
        </is>
      </c>
      <c r="D82" t="n">
        <v>2.8</v>
      </c>
      <c r="E82" t="inlineStr">
        <is>
          <t>100X18X14</t>
        </is>
      </c>
      <c r="F82" t="inlineStr">
        <is>
          <t>PLF 3070</t>
        </is>
      </c>
      <c r="G82" t="inlineStr">
        <is>
          <t>NW</t>
        </is>
      </c>
      <c r="H82" t="inlineStr">
        <is>
          <t>P1Y</t>
        </is>
      </c>
      <c r="I82" t="inlineStr">
        <is>
          <t>HOLES</t>
        </is>
      </c>
      <c r="J82" t="inlineStr">
        <is>
          <t>N/A</t>
        </is>
      </c>
      <c r="K82" t="n">
        <v>6400</v>
      </c>
      <c r="L82" t="n">
        <v>7400</v>
      </c>
      <c r="M82" t="n">
        <v>7600</v>
      </c>
      <c r="N82" t="n">
        <v>8000</v>
      </c>
      <c r="O82" t="n">
        <v>8400</v>
      </c>
      <c r="P82" t="n">
        <v>8800</v>
      </c>
      <c r="Q82" t="n">
        <v>9200</v>
      </c>
      <c r="R82" t="n">
        <v>3.595155192642662</v>
      </c>
      <c r="S82" t="n">
        <v>3.578781917480325</v>
      </c>
      <c r="T82" t="n">
        <v>3.576024313242457</v>
      </c>
      <c r="U82" t="n">
        <v>3.570922745402403</v>
      </c>
      <c r="V82" t="n">
        <v>3.566307041166163</v>
      </c>
      <c r="W82" t="n">
        <v>3.562110946405944</v>
      </c>
      <c r="X82" t="n">
        <v>3.558279729450963</v>
      </c>
    </row>
    <row r="83">
      <c r="A83" t="inlineStr">
        <is>
          <t>100X18X14|PLF 3070|NW|P2Y|N/A|N/A</t>
        </is>
      </c>
      <c r="B83" t="inlineStr">
        <is>
          <t>GB-1001814-M107-23</t>
        </is>
      </c>
      <c r="C83" t="inlineStr">
        <is>
          <t>GB 100x18x14 PLF 3070 NW P2Y</t>
        </is>
      </c>
      <c r="D83" t="n">
        <v>2.8</v>
      </c>
      <c r="E83" t="inlineStr">
        <is>
          <t>100X18X14</t>
        </is>
      </c>
      <c r="F83" t="inlineStr">
        <is>
          <t>PLF 3070</t>
        </is>
      </c>
      <c r="G83" t="inlineStr">
        <is>
          <t>NW</t>
        </is>
      </c>
      <c r="H83" t="inlineStr">
        <is>
          <t>P2Y</t>
        </is>
      </c>
      <c r="I83" t="inlineStr">
        <is>
          <t>N/A</t>
        </is>
      </c>
      <c r="J83" t="inlineStr">
        <is>
          <t>N/A</t>
        </is>
      </c>
      <c r="K83" t="n">
        <v>6400</v>
      </c>
      <c r="L83" t="n">
        <v>7400</v>
      </c>
      <c r="M83" t="n">
        <v>7600</v>
      </c>
      <c r="N83" t="n">
        <v>8000</v>
      </c>
      <c r="O83" t="n">
        <v>8400</v>
      </c>
      <c r="P83" t="n">
        <v>8800</v>
      </c>
      <c r="Q83" t="n">
        <v>9200</v>
      </c>
      <c r="R83" t="n">
        <v>3.641750566019285</v>
      </c>
      <c r="S83" t="n">
        <v>3.625377290856948</v>
      </c>
      <c r="T83" t="n">
        <v>3.622619686619081</v>
      </c>
      <c r="U83" t="n">
        <v>3.617518118779026</v>
      </c>
      <c r="V83" t="n">
        <v>3.612902414542786</v>
      </c>
      <c r="W83" t="n">
        <v>3.608706319782567</v>
      </c>
      <c r="X83" t="n">
        <v>3.604875102827586</v>
      </c>
    </row>
    <row r="84">
      <c r="A84" t="inlineStr">
        <is>
          <t>100X18X14|PLF 3070|NW|P2Y|HOLES|N/A</t>
        </is>
      </c>
      <c r="B84" t="inlineStr">
        <is>
          <t>GB-1001814-M107-25</t>
        </is>
      </c>
      <c r="C84" t="inlineStr">
        <is>
          <t>GB 100x18x14 PLF 3070 NW P2Y + HOLES</t>
        </is>
      </c>
      <c r="D84" t="n">
        <v>2.8</v>
      </c>
      <c r="E84" t="inlineStr">
        <is>
          <t>100X18X14</t>
        </is>
      </c>
      <c r="F84" t="inlineStr">
        <is>
          <t>PLF 3070</t>
        </is>
      </c>
      <c r="G84" t="inlineStr">
        <is>
          <t>NW</t>
        </is>
      </c>
      <c r="H84" t="inlineStr">
        <is>
          <t>P2Y</t>
        </is>
      </c>
      <c r="I84" t="inlineStr">
        <is>
          <t>HOLES</t>
        </is>
      </c>
      <c r="J84" t="inlineStr">
        <is>
          <t>N/A</t>
        </is>
      </c>
      <c r="K84" t="n">
        <v>6400</v>
      </c>
      <c r="L84" t="n">
        <v>7400</v>
      </c>
      <c r="M84" t="n">
        <v>7600</v>
      </c>
      <c r="N84" t="n">
        <v>8000</v>
      </c>
      <c r="O84" t="n">
        <v>8400</v>
      </c>
      <c r="P84" t="n">
        <v>8800</v>
      </c>
      <c r="Q84" t="n">
        <v>9200</v>
      </c>
      <c r="R84" t="n">
        <v>3.641750566019285</v>
      </c>
      <c r="S84" t="n">
        <v>3.625377290856948</v>
      </c>
      <c r="T84" t="n">
        <v>3.622619686619081</v>
      </c>
      <c r="U84" t="n">
        <v>3.617518118779026</v>
      </c>
      <c r="V84" t="n">
        <v>3.612902414542786</v>
      </c>
      <c r="W84" t="n">
        <v>3.608706319782567</v>
      </c>
      <c r="X84" t="n">
        <v>3.604875102827586</v>
      </c>
    </row>
    <row r="85">
      <c r="A85" t="inlineStr">
        <is>
          <t>100X18X14|PLF 3070|NW|P2Y|HOLES|N/A</t>
        </is>
      </c>
      <c r="B85" t="inlineStr">
        <is>
          <t>GB-1001814-M107-26</t>
        </is>
      </c>
      <c r="C85" t="inlineStr">
        <is>
          <t>GB 100x18x14 PLF 3070 NW P2Y+HOLES</t>
        </is>
      </c>
      <c r="D85" t="n">
        <v>2.8</v>
      </c>
      <c r="E85" t="inlineStr">
        <is>
          <t>100X18X14</t>
        </is>
      </c>
      <c r="F85" t="inlineStr">
        <is>
          <t>PLF 3070</t>
        </is>
      </c>
      <c r="G85" t="inlineStr">
        <is>
          <t>NW</t>
        </is>
      </c>
      <c r="H85" t="inlineStr">
        <is>
          <t>P2Y</t>
        </is>
      </c>
      <c r="I85" t="inlineStr">
        <is>
          <t>HOLES</t>
        </is>
      </c>
      <c r="J85" t="inlineStr">
        <is>
          <t>N/A</t>
        </is>
      </c>
      <c r="K85" t="n">
        <v>6400</v>
      </c>
      <c r="L85" t="n">
        <v>7400</v>
      </c>
      <c r="M85" t="n">
        <v>7600</v>
      </c>
      <c r="N85" t="n">
        <v>8000</v>
      </c>
      <c r="O85" t="n">
        <v>8400</v>
      </c>
      <c r="P85" t="n">
        <v>8800</v>
      </c>
      <c r="Q85" t="n">
        <v>9200</v>
      </c>
      <c r="R85" t="n">
        <v>3.641750566019285</v>
      </c>
      <c r="S85" t="n">
        <v>3.625377290856948</v>
      </c>
      <c r="T85" t="n">
        <v>3.622619686619081</v>
      </c>
      <c r="U85" t="n">
        <v>3.617518118779026</v>
      </c>
      <c r="V85" t="n">
        <v>3.612902414542786</v>
      </c>
      <c r="W85" t="n">
        <v>3.608706319782567</v>
      </c>
      <c r="X85" t="n">
        <v>3.604875102827586</v>
      </c>
    </row>
    <row r="86">
      <c r="A86" t="inlineStr">
        <is>
          <t>100X18X14|PLF 3070|NW|P3Y|HOLES|N/A</t>
        </is>
      </c>
      <c r="B86" t="inlineStr">
        <is>
          <t>GB-1001814-M107-27</t>
        </is>
      </c>
      <c r="C86" t="inlineStr">
        <is>
          <t>GB 100x18x14 PLF 3070 NW P3Y+HOLES</t>
        </is>
      </c>
      <c r="D86" t="n">
        <v>2.8</v>
      </c>
      <c r="E86" t="inlineStr">
        <is>
          <t>100X18X14</t>
        </is>
      </c>
      <c r="F86" t="inlineStr">
        <is>
          <t>PLF 3070</t>
        </is>
      </c>
      <c r="G86" t="inlineStr">
        <is>
          <t>NW</t>
        </is>
      </c>
      <c r="H86" t="inlineStr">
        <is>
          <t>P3Y</t>
        </is>
      </c>
      <c r="I86" t="inlineStr">
        <is>
          <t>HOLES</t>
        </is>
      </c>
      <c r="J86" t="inlineStr">
        <is>
          <t>N/A</t>
        </is>
      </c>
      <c r="K86" t="n">
        <v>6400</v>
      </c>
      <c r="L86" t="n">
        <v>7400</v>
      </c>
      <c r="M86" t="n">
        <v>7600</v>
      </c>
      <c r="N86" t="n">
        <v>8000</v>
      </c>
      <c r="O86" t="n">
        <v>8400</v>
      </c>
      <c r="P86" t="n">
        <v>8800</v>
      </c>
      <c r="Q86" t="n">
        <v>9200</v>
      </c>
      <c r="R86" t="n">
        <v>3.736805127707597</v>
      </c>
      <c r="S86" t="n">
        <v>3.720431852545259</v>
      </c>
      <c r="T86" t="n">
        <v>3.717674248307392</v>
      </c>
      <c r="U86" t="n">
        <v>3.712572680467338</v>
      </c>
      <c r="V86" t="n">
        <v>3.615642891506298</v>
      </c>
      <c r="W86" t="n">
        <v>3.703760881470879</v>
      </c>
      <c r="X86" t="n">
        <v>3.699929664515897</v>
      </c>
    </row>
    <row r="87">
      <c r="A87" t="inlineStr">
        <is>
          <t>100X18X14|PLF 3070|NW|P3Y|N/A|N/A</t>
        </is>
      </c>
      <c r="B87" t="inlineStr">
        <is>
          <t>GB-1001814-M107-30</t>
        </is>
      </c>
      <c r="C87" t="inlineStr">
        <is>
          <t>GB 100x18x14 PLF 3070 NW P3Y</t>
        </is>
      </c>
      <c r="D87" t="n">
        <v>2.8</v>
      </c>
      <c r="E87" t="inlineStr">
        <is>
          <t>100X18X14</t>
        </is>
      </c>
      <c r="F87" t="inlineStr">
        <is>
          <t>PLF 3070</t>
        </is>
      </c>
      <c r="G87" t="inlineStr">
        <is>
          <t>NW</t>
        </is>
      </c>
      <c r="H87" t="inlineStr">
        <is>
          <t>P3Y</t>
        </is>
      </c>
      <c r="I87" t="inlineStr">
        <is>
          <t>N/A</t>
        </is>
      </c>
      <c r="J87" t="inlineStr">
        <is>
          <t>N/A</t>
        </is>
      </c>
      <c r="K87" t="n">
        <v>6400</v>
      </c>
      <c r="L87" t="n">
        <v>7400</v>
      </c>
      <c r="M87" t="n">
        <v>7600</v>
      </c>
      <c r="N87" t="n">
        <v>8000</v>
      </c>
      <c r="O87" t="n">
        <v>8400</v>
      </c>
      <c r="P87" t="n">
        <v>8800</v>
      </c>
      <c r="Q87" t="n">
        <v>9200</v>
      </c>
      <c r="R87" t="n">
        <v>3.717010127707597</v>
      </c>
      <c r="S87" t="n">
        <v>3.70063685254526</v>
      </c>
      <c r="T87" t="n">
        <v>3.697879248307392</v>
      </c>
      <c r="U87" t="n">
        <v>3.692777680467338</v>
      </c>
      <c r="V87" t="n">
        <v>3.688161976231098</v>
      </c>
      <c r="W87" t="n">
        <v>3.68396588147088</v>
      </c>
      <c r="X87" t="n">
        <v>3.680134664515898</v>
      </c>
    </row>
    <row r="88">
      <c r="A88" t="inlineStr">
        <is>
          <t>100X18X14|PLF 3070|NW|P1Y|HOLES|N/A</t>
        </is>
      </c>
      <c r="B88" t="inlineStr">
        <is>
          <t>GB-1001814-M107-31</t>
        </is>
      </c>
      <c r="C88" t="inlineStr">
        <is>
          <t>GB 100x18x14 PLF 3070 NW P1Y+HOLES</t>
        </is>
      </c>
      <c r="D88" t="n">
        <v>2.8</v>
      </c>
      <c r="E88" t="inlineStr">
        <is>
          <t>100X18X14</t>
        </is>
      </c>
      <c r="F88" t="inlineStr">
        <is>
          <t>PLF 3070</t>
        </is>
      </c>
      <c r="G88" t="inlineStr">
        <is>
          <t>NW</t>
        </is>
      </c>
      <c r="H88" t="inlineStr">
        <is>
          <t>P1Y</t>
        </is>
      </c>
      <c r="I88" t="inlineStr">
        <is>
          <t>HOLES</t>
        </is>
      </c>
      <c r="J88" t="inlineStr">
        <is>
          <t>N/A</t>
        </is>
      </c>
      <c r="K88" t="n">
        <v>6400</v>
      </c>
      <c r="L88" t="n">
        <v>7400</v>
      </c>
      <c r="M88" t="n">
        <v>7600</v>
      </c>
      <c r="N88" t="n">
        <v>8000</v>
      </c>
      <c r="O88" t="n">
        <v>8400</v>
      </c>
      <c r="P88" t="n">
        <v>8800</v>
      </c>
      <c r="Q88" t="n">
        <v>9200</v>
      </c>
      <c r="R88" t="n">
        <v>3.595155192642662</v>
      </c>
      <c r="S88" t="n">
        <v>3.578781917480325</v>
      </c>
      <c r="T88" t="n">
        <v>3.576024313242457</v>
      </c>
      <c r="U88" t="n">
        <v>3.570922745402403</v>
      </c>
      <c r="V88" t="n">
        <v>3.566307041166163</v>
      </c>
      <c r="W88" t="n">
        <v>3.562110946405944</v>
      </c>
      <c r="X88" t="n">
        <v>3.558279729450963</v>
      </c>
    </row>
    <row r="89">
      <c r="A89" t="inlineStr">
        <is>
          <t>100X18X15|16MM|NW|P2Y|HOLES|N/A</t>
        </is>
      </c>
      <c r="B89" t="inlineStr">
        <is>
          <t>GB-1001815-M003-05</t>
        </is>
      </c>
      <c r="C89" t="inlineStr">
        <is>
          <t>GB 100x18x15 16mm NW P2Y + HOLES</t>
        </is>
      </c>
      <c r="D89" t="n">
        <v>2.9</v>
      </c>
      <c r="E89" t="inlineStr">
        <is>
          <t>100X18X15</t>
        </is>
      </c>
      <c r="F89" t="inlineStr">
        <is>
          <t>16MM</t>
        </is>
      </c>
      <c r="G89" t="inlineStr">
        <is>
          <t>NW</t>
        </is>
      </c>
      <c r="H89" t="inlineStr">
        <is>
          <t>P2Y</t>
        </is>
      </c>
      <c r="I89" t="inlineStr">
        <is>
          <t>HOLES</t>
        </is>
      </c>
      <c r="J89" t="inlineStr">
        <is>
          <t>N/A</t>
        </is>
      </c>
      <c r="K89" t="n">
        <v>6200</v>
      </c>
      <c r="L89" t="n">
        <v>7000</v>
      </c>
      <c r="M89" t="n">
        <v>7400</v>
      </c>
      <c r="N89" t="n">
        <v>7800</v>
      </c>
      <c r="O89" t="n">
        <v>8200</v>
      </c>
      <c r="P89" t="n">
        <v>8400</v>
      </c>
      <c r="Q89" t="n">
        <v>8800</v>
      </c>
      <c r="R89" t="n">
        <v>4.838599669678942</v>
      </c>
      <c r="S89" t="n">
        <v>4.824305875915102</v>
      </c>
      <c r="T89" t="n">
        <v>4.818317935284304</v>
      </c>
      <c r="U89" t="n">
        <v>4.812944142410511</v>
      </c>
      <c r="V89" t="n">
        <v>4.808094622012209</v>
      </c>
      <c r="W89" t="n">
        <v>4.805843058970141</v>
      </c>
      <c r="X89" t="n">
        <v>4.801646964209922</v>
      </c>
    </row>
    <row r="90">
      <c r="A90" t="inlineStr">
        <is>
          <t>100X18X15|PLF 3070|NW|P3Y|HOLES|N/A</t>
        </is>
      </c>
      <c r="B90" t="inlineStr">
        <is>
          <t>GB-1001815-M107-01</t>
        </is>
      </c>
      <c r="C90" t="inlineStr">
        <is>
          <t>GB 100x18x15 PLF 3070 NW P3Y+HOLES</t>
        </is>
      </c>
      <c r="D90" t="n">
        <v>3</v>
      </c>
      <c r="E90" t="inlineStr">
        <is>
          <t>100X18X15</t>
        </is>
      </c>
      <c r="F90" t="inlineStr">
        <is>
          <t>PLF 3070</t>
        </is>
      </c>
      <c r="G90" t="inlineStr">
        <is>
          <t>NW</t>
        </is>
      </c>
      <c r="H90" t="inlineStr">
        <is>
          <t>P3Y</t>
        </is>
      </c>
      <c r="I90" t="inlineStr">
        <is>
          <t>HOLES</t>
        </is>
      </c>
      <c r="J90" t="inlineStr">
        <is>
          <t>N/A</t>
        </is>
      </c>
      <c r="K90" t="n">
        <v>6000</v>
      </c>
      <c r="L90" t="n">
        <v>6800</v>
      </c>
      <c r="M90" t="n">
        <v>7200</v>
      </c>
      <c r="N90" t="n">
        <v>7600</v>
      </c>
      <c r="O90" t="n">
        <v>7800</v>
      </c>
      <c r="P90" t="n">
        <v>8200</v>
      </c>
      <c r="Q90" t="n">
        <v>8600</v>
      </c>
      <c r="R90" t="n">
        <v>3.977582120398871</v>
      </c>
      <c r="S90" t="n">
        <v>3.962377447620669</v>
      </c>
      <c r="T90" t="n">
        <v>3.956042167296418</v>
      </c>
      <c r="U90" t="n">
        <v>3.950373758585246</v>
      </c>
      <c r="V90" t="n">
        <v>3.947757569949321</v>
      </c>
      <c r="W90" t="n">
        <v>3.94290804955102</v>
      </c>
      <c r="X90" t="n">
        <v>3.938509647329305</v>
      </c>
    </row>
    <row r="91">
      <c r="A91" t="inlineStr">
        <is>
          <t>100X18X16|16MM|NW|P2Y|N/A|N/A</t>
        </is>
      </c>
      <c r="B91" t="inlineStr">
        <is>
          <t>GB-1001816-M003-13</t>
        </is>
      </c>
      <c r="C91" t="inlineStr">
        <is>
          <t>GB 100x18x16 16mm NW P2Y</t>
        </is>
      </c>
      <c r="D91" t="n">
        <v>3.1</v>
      </c>
      <c r="E91" t="inlineStr">
        <is>
          <t>100X18X16</t>
        </is>
      </c>
      <c r="F91" t="inlineStr">
        <is>
          <t>16MM</t>
        </is>
      </c>
      <c r="G91" t="inlineStr">
        <is>
          <t>NW</t>
        </is>
      </c>
      <c r="H91" t="inlineStr">
        <is>
          <t>P2Y</t>
        </is>
      </c>
      <c r="I91" t="inlineStr">
        <is>
          <t>N/A</t>
        </is>
      </c>
      <c r="J91" t="inlineStr">
        <is>
          <t>N/A</t>
        </is>
      </c>
      <c r="K91" t="n">
        <v>5800</v>
      </c>
      <c r="L91" t="n">
        <v>6600</v>
      </c>
      <c r="M91" t="n">
        <v>7000</v>
      </c>
      <c r="N91" t="n">
        <v>7200</v>
      </c>
      <c r="O91" t="n">
        <v>7600</v>
      </c>
      <c r="P91" t="n">
        <v>8000</v>
      </c>
      <c r="Q91" t="n">
        <v>8200</v>
      </c>
      <c r="R91" t="n">
        <v>5.133833918204457</v>
      </c>
      <c r="S91" t="n">
        <v>5.117628310854649</v>
      </c>
      <c r="T91" t="n">
        <v>5.1109145592383</v>
      </c>
      <c r="U91" t="n">
        <v>5.107837423080807</v>
      </c>
      <c r="V91" t="n">
        <v>5.102169014369635</v>
      </c>
      <c r="W91" t="n">
        <v>5.09706744652958</v>
      </c>
      <c r="X91" t="n">
        <v>5.094703305335409</v>
      </c>
    </row>
    <row r="92">
      <c r="A92" t="inlineStr">
        <is>
          <t>100X18X16|16MM|NW|P2Y|N/A|N/A</t>
        </is>
      </c>
      <c r="B92" t="inlineStr">
        <is>
          <t>GB-1001816-M003-28</t>
        </is>
      </c>
      <c r="C92" t="inlineStr">
        <is>
          <t>GB 100x18x16 16mm NW P2Y</t>
        </is>
      </c>
      <c r="D92" t="n">
        <v>3.1</v>
      </c>
      <c r="E92" t="inlineStr">
        <is>
          <t>100X18X16</t>
        </is>
      </c>
      <c r="F92" t="inlineStr">
        <is>
          <t>16MM</t>
        </is>
      </c>
      <c r="G92" t="inlineStr">
        <is>
          <t>NW</t>
        </is>
      </c>
      <c r="H92" t="inlineStr">
        <is>
          <t>P2Y</t>
        </is>
      </c>
      <c r="I92" t="inlineStr">
        <is>
          <t>N/A</t>
        </is>
      </c>
      <c r="J92" t="inlineStr">
        <is>
          <t>N/A</t>
        </is>
      </c>
      <c r="K92" t="n">
        <v>5800</v>
      </c>
      <c r="L92" t="n">
        <v>6600</v>
      </c>
      <c r="M92" t="n">
        <v>7000</v>
      </c>
      <c r="N92" t="n">
        <v>7200</v>
      </c>
      <c r="O92" t="n">
        <v>7600</v>
      </c>
      <c r="P92" t="n">
        <v>8000</v>
      </c>
      <c r="Q92" t="n">
        <v>8200</v>
      </c>
      <c r="R92" t="n">
        <v>5.133833918204457</v>
      </c>
      <c r="S92" t="n">
        <v>5.117628310854649</v>
      </c>
      <c r="T92" t="n">
        <v>5.1109145592383</v>
      </c>
      <c r="U92" t="n">
        <v>5.107837423080807</v>
      </c>
      <c r="V92" t="n">
        <v>5.102169014369635</v>
      </c>
      <c r="W92" t="n">
        <v>5.09706744652958</v>
      </c>
      <c r="X92" t="n">
        <v>5.094703305335409</v>
      </c>
    </row>
    <row r="93">
      <c r="A93" t="inlineStr">
        <is>
          <t>100X18X16|16MM|NW|P3Y|N/A|N/A</t>
        </is>
      </c>
      <c r="B93" t="inlineStr">
        <is>
          <t>GB-1001816-M003-32</t>
        </is>
      </c>
      <c r="C93" t="inlineStr">
        <is>
          <t>GB 100X18X16 16MM NW P3Y</t>
        </is>
      </c>
      <c r="D93" t="n">
        <v>3.1</v>
      </c>
      <c r="E93" t="inlineStr">
        <is>
          <t>100X18X16</t>
        </is>
      </c>
      <c r="F93" t="inlineStr">
        <is>
          <t>16MM</t>
        </is>
      </c>
      <c r="G93" t="inlineStr">
        <is>
          <t>NW</t>
        </is>
      </c>
      <c r="H93" t="inlineStr">
        <is>
          <t>P3Y</t>
        </is>
      </c>
      <c r="I93" t="inlineStr">
        <is>
          <t>N/A</t>
        </is>
      </c>
      <c r="J93" t="inlineStr">
        <is>
          <t>N/A</t>
        </is>
      </c>
      <c r="K93" t="n">
        <v>5800</v>
      </c>
      <c r="L93" t="n">
        <v>6600</v>
      </c>
      <c r="M93" t="n">
        <v>7000</v>
      </c>
      <c r="N93" t="n">
        <v>7200</v>
      </c>
      <c r="O93" t="n">
        <v>7600</v>
      </c>
      <c r="P93" t="n">
        <v>8000</v>
      </c>
      <c r="Q93" t="n">
        <v>8200</v>
      </c>
      <c r="R93" t="n">
        <v>5.234479924697963</v>
      </c>
      <c r="S93" t="n">
        <v>5.218274317348156</v>
      </c>
      <c r="T93" t="n">
        <v>5.211560565731807</v>
      </c>
      <c r="U93" t="n">
        <v>5.208483429574313</v>
      </c>
      <c r="V93" t="n">
        <v>5.202815020863141</v>
      </c>
      <c r="W93" t="n">
        <v>5.197713453023087</v>
      </c>
      <c r="X93" t="n">
        <v>5.195349311828915</v>
      </c>
    </row>
    <row r="94">
      <c r="A94" t="inlineStr">
        <is>
          <t>100X18X16|16MM|NW|P3Y|HOLES|N/A</t>
        </is>
      </c>
      <c r="B94" t="inlineStr">
        <is>
          <t>GB-1001816-M003-33</t>
        </is>
      </c>
      <c r="C94" t="inlineStr">
        <is>
          <t>GB 100X18X16 16MM NW P3Y + HOLES</t>
        </is>
      </c>
      <c r="D94" t="n">
        <v>3.1</v>
      </c>
      <c r="E94" t="inlineStr">
        <is>
          <t>100X18X16</t>
        </is>
      </c>
      <c r="F94" t="inlineStr">
        <is>
          <t>16MM</t>
        </is>
      </c>
      <c r="G94" t="inlineStr">
        <is>
          <t>NW</t>
        </is>
      </c>
      <c r="H94" t="inlineStr">
        <is>
          <t>P3Y</t>
        </is>
      </c>
      <c r="I94" t="inlineStr">
        <is>
          <t>HOLES</t>
        </is>
      </c>
      <c r="J94" t="inlineStr">
        <is>
          <t>N/A</t>
        </is>
      </c>
      <c r="K94" t="n">
        <v>5800</v>
      </c>
      <c r="L94" t="n">
        <v>6600</v>
      </c>
      <c r="M94" t="n">
        <v>7000</v>
      </c>
      <c r="N94" t="n">
        <v>7200</v>
      </c>
      <c r="O94" t="n">
        <v>7600</v>
      </c>
      <c r="P94" t="n">
        <v>8000</v>
      </c>
      <c r="Q94" t="n">
        <v>8200</v>
      </c>
      <c r="R94" t="n">
        <v>5.234479924697963</v>
      </c>
      <c r="S94" t="n">
        <v>5.218274317348156</v>
      </c>
      <c r="T94" t="n">
        <v>5.211560565731807</v>
      </c>
      <c r="U94" t="n">
        <v>5.208483429574313</v>
      </c>
      <c r="V94" t="n">
        <v>5.202815020863141</v>
      </c>
      <c r="W94" t="n">
        <v>5.197713453023087</v>
      </c>
      <c r="X94" t="n">
        <v>5.195349311828915</v>
      </c>
    </row>
    <row r="95">
      <c r="A95" t="inlineStr">
        <is>
          <t>100X18X16|16MM|NW|P2Y|HOLES|N/A</t>
        </is>
      </c>
      <c r="B95" t="inlineStr">
        <is>
          <t>GB-1001816-M003-34</t>
        </is>
      </c>
      <c r="C95" t="inlineStr">
        <is>
          <t>GB 100x18x16 16mm NW P2Y+ HOLES</t>
        </is>
      </c>
      <c r="D95" t="n">
        <v>3.1</v>
      </c>
      <c r="E95" t="inlineStr">
        <is>
          <t>100X18X16</t>
        </is>
      </c>
      <c r="F95" t="inlineStr">
        <is>
          <t>16MM</t>
        </is>
      </c>
      <c r="G95" t="inlineStr">
        <is>
          <t>NW</t>
        </is>
      </c>
      <c r="H95" t="inlineStr">
        <is>
          <t>P2Y</t>
        </is>
      </c>
      <c r="I95" t="inlineStr">
        <is>
          <t>HOLES</t>
        </is>
      </c>
      <c r="J95" t="inlineStr">
        <is>
          <t>N/A</t>
        </is>
      </c>
      <c r="K95" t="n">
        <v>5800</v>
      </c>
      <c r="L95" t="n">
        <v>6600</v>
      </c>
      <c r="M95" t="n">
        <v>7000</v>
      </c>
      <c r="N95" t="n">
        <v>7200</v>
      </c>
      <c r="O95" t="n">
        <v>7600</v>
      </c>
      <c r="P95" t="n">
        <v>8000</v>
      </c>
      <c r="Q95" t="n">
        <v>8200</v>
      </c>
      <c r="R95" t="n">
        <v>5.133833918204457</v>
      </c>
      <c r="S95" t="n">
        <v>5.117628310854649</v>
      </c>
      <c r="T95" t="n">
        <v>5.1109145592383</v>
      </c>
      <c r="U95" t="n">
        <v>5.107837423080807</v>
      </c>
      <c r="V95" t="n">
        <v>5.102169014369635</v>
      </c>
      <c r="W95" t="n">
        <v>5.09706744652958</v>
      </c>
      <c r="X95" t="n">
        <v>5.094703305335409</v>
      </c>
    </row>
    <row r="96">
      <c r="A96" t="inlineStr">
        <is>
          <t>100X18X16|16MM|NW|P3Y|HOLES|N/A</t>
        </is>
      </c>
      <c r="B96" t="inlineStr">
        <is>
          <t>GB-1001816-M003-35</t>
        </is>
      </c>
      <c r="C96" t="inlineStr">
        <is>
          <t>GB 100x18x16 16mm NW P3Y + HOLES</t>
        </is>
      </c>
      <c r="D96" t="n">
        <v>3.1</v>
      </c>
      <c r="E96" t="inlineStr">
        <is>
          <t>100X18X16</t>
        </is>
      </c>
      <c r="F96" t="inlineStr">
        <is>
          <t>16MM</t>
        </is>
      </c>
      <c r="G96" t="inlineStr">
        <is>
          <t>NW</t>
        </is>
      </c>
      <c r="H96" t="inlineStr">
        <is>
          <t>P3Y</t>
        </is>
      </c>
      <c r="I96" t="inlineStr">
        <is>
          <t>HOLES</t>
        </is>
      </c>
      <c r="J96" t="inlineStr">
        <is>
          <t>N/A</t>
        </is>
      </c>
      <c r="K96" t="n">
        <v>5800</v>
      </c>
      <c r="L96" t="n">
        <v>6600</v>
      </c>
      <c r="M96" t="n">
        <v>7000</v>
      </c>
      <c r="N96" t="n">
        <v>7200</v>
      </c>
      <c r="O96" t="n">
        <v>7600</v>
      </c>
      <c r="P96" t="n">
        <v>8000</v>
      </c>
      <c r="Q96" t="n">
        <v>8200</v>
      </c>
      <c r="R96" t="n">
        <v>5.234479924697963</v>
      </c>
      <c r="S96" t="n">
        <v>5.218274317348156</v>
      </c>
      <c r="T96" t="n">
        <v>5.211560565731807</v>
      </c>
      <c r="U96" t="n">
        <v>5.208483429574313</v>
      </c>
      <c r="V96" t="n">
        <v>5.202815020863141</v>
      </c>
      <c r="W96" t="n">
        <v>5.197713453023087</v>
      </c>
      <c r="X96" t="n">
        <v>5.195349311828915</v>
      </c>
    </row>
    <row r="97">
      <c r="A97" t="inlineStr">
        <is>
          <t>100X18X16|16MM|NW|P3Y|N/A|N/A</t>
        </is>
      </c>
      <c r="B97" t="inlineStr">
        <is>
          <t>GB-1001816-M003-37</t>
        </is>
      </c>
      <c r="C97" t="inlineStr">
        <is>
          <t>GB 100x18x16 16mm NW P3Y</t>
        </is>
      </c>
      <c r="D97" t="n">
        <v>3.1</v>
      </c>
      <c r="E97" t="inlineStr">
        <is>
          <t>100X18X16</t>
        </is>
      </c>
      <c r="F97" t="inlineStr">
        <is>
          <t>16MM</t>
        </is>
      </c>
      <c r="G97" t="inlineStr">
        <is>
          <t>NW</t>
        </is>
      </c>
      <c r="H97" t="inlineStr">
        <is>
          <t>P3Y</t>
        </is>
      </c>
      <c r="I97" t="inlineStr">
        <is>
          <t>N/A</t>
        </is>
      </c>
      <c r="J97" t="inlineStr">
        <is>
          <t>N/A</t>
        </is>
      </c>
      <c r="K97" t="n">
        <v>5800</v>
      </c>
      <c r="L97" t="n">
        <v>6600</v>
      </c>
      <c r="M97" t="n">
        <v>7000</v>
      </c>
      <c r="N97" t="n">
        <v>7200</v>
      </c>
      <c r="O97" t="n">
        <v>7600</v>
      </c>
      <c r="P97" t="n">
        <v>8000</v>
      </c>
      <c r="Q97" t="n">
        <v>8200</v>
      </c>
      <c r="R97" t="n">
        <v>5.234479924697963</v>
      </c>
      <c r="S97" t="n">
        <v>5.218274317348156</v>
      </c>
      <c r="T97" t="n">
        <v>5.211560565731807</v>
      </c>
      <c r="U97" t="n">
        <v>5.208483429574313</v>
      </c>
      <c r="V97" t="n">
        <v>5.202815020863141</v>
      </c>
      <c r="W97" t="n">
        <v>5.197713453023087</v>
      </c>
      <c r="X97" t="n">
        <v>5.195349311828915</v>
      </c>
    </row>
    <row r="98">
      <c r="A98" t="inlineStr">
        <is>
          <t>100X18X16|16MM|NW|P3Y|HOLES|N/A</t>
        </is>
      </c>
      <c r="B98" t="inlineStr">
        <is>
          <t>GB-1001816-M003-38</t>
        </is>
      </c>
      <c r="C98" t="inlineStr">
        <is>
          <t>GB 100x18x16 16mm NW P3Y + HOLES</t>
        </is>
      </c>
      <c r="D98" t="n">
        <v>3.1</v>
      </c>
      <c r="E98" t="inlineStr">
        <is>
          <t>100X18X16</t>
        </is>
      </c>
      <c r="F98" t="inlineStr">
        <is>
          <t>16MM</t>
        </is>
      </c>
      <c r="G98" t="inlineStr">
        <is>
          <t>NW</t>
        </is>
      </c>
      <c r="H98" t="inlineStr">
        <is>
          <t>P3Y</t>
        </is>
      </c>
      <c r="I98" t="inlineStr">
        <is>
          <t>HOLES</t>
        </is>
      </c>
      <c r="J98" t="inlineStr">
        <is>
          <t>N/A</t>
        </is>
      </c>
      <c r="K98" t="n">
        <v>5800</v>
      </c>
      <c r="L98" t="n">
        <v>6600</v>
      </c>
      <c r="M98" t="n">
        <v>7000</v>
      </c>
      <c r="N98" t="n">
        <v>7200</v>
      </c>
      <c r="O98" t="n">
        <v>7600</v>
      </c>
      <c r="P98" t="n">
        <v>8000</v>
      </c>
      <c r="Q98" t="n">
        <v>8200</v>
      </c>
      <c r="R98" t="n">
        <v>5.234479924697963</v>
      </c>
      <c r="S98" t="n">
        <v>5.218274317348156</v>
      </c>
      <c r="T98" t="n">
        <v>5.211560565731807</v>
      </c>
      <c r="U98" t="n">
        <v>5.208483429574313</v>
      </c>
      <c r="V98" t="n">
        <v>5.202815020863141</v>
      </c>
      <c r="W98" t="n">
        <v>5.197713453023087</v>
      </c>
      <c r="X98" t="n">
        <v>5.195349311828915</v>
      </c>
    </row>
    <row r="99">
      <c r="A99" t="inlineStr">
        <is>
          <t>100X18X16|16MM|NW|P3Y|HOLES|N/A</t>
        </is>
      </c>
      <c r="B99" t="inlineStr">
        <is>
          <t>GB-1001816-M003-39</t>
        </is>
      </c>
      <c r="C99" t="inlineStr">
        <is>
          <t>GB 100x18x16 16mm NW P3Y + HOLES</t>
        </is>
      </c>
      <c r="D99" t="n">
        <v>3.1</v>
      </c>
      <c r="E99" t="inlineStr">
        <is>
          <t>100X18X16</t>
        </is>
      </c>
      <c r="F99" t="inlineStr">
        <is>
          <t>16MM</t>
        </is>
      </c>
      <c r="G99" t="inlineStr">
        <is>
          <t>NW</t>
        </is>
      </c>
      <c r="H99" t="inlineStr">
        <is>
          <t>P3Y</t>
        </is>
      </c>
      <c r="I99" t="inlineStr">
        <is>
          <t>HOLES</t>
        </is>
      </c>
      <c r="J99" t="inlineStr">
        <is>
          <t>N/A</t>
        </is>
      </c>
      <c r="K99" t="n">
        <v>5800</v>
      </c>
      <c r="L99" t="n">
        <v>6600</v>
      </c>
      <c r="M99" t="n">
        <v>7000</v>
      </c>
      <c r="N99" t="n">
        <v>7200</v>
      </c>
      <c r="O99" t="n">
        <v>7600</v>
      </c>
      <c r="P99" t="n">
        <v>8000</v>
      </c>
      <c r="Q99" t="n">
        <v>8200</v>
      </c>
      <c r="R99" t="n">
        <v>5.234479924697963</v>
      </c>
      <c r="S99" t="n">
        <v>5.218274317348156</v>
      </c>
      <c r="T99" t="n">
        <v>5.211560565731807</v>
      </c>
      <c r="U99" t="n">
        <v>5.208483429574313</v>
      </c>
      <c r="V99" t="n">
        <v>5.202815020863141</v>
      </c>
      <c r="W99" t="n">
        <v>5.197713453023087</v>
      </c>
      <c r="X99" t="n">
        <v>5.195349311828915</v>
      </c>
    </row>
    <row r="100">
      <c r="A100" t="inlineStr">
        <is>
          <t>100X18X16|16MM|NW|P3Y|N/A|N/A</t>
        </is>
      </c>
      <c r="B100" t="inlineStr">
        <is>
          <t>GB-1001816-M003-40</t>
        </is>
      </c>
      <c r="C100" t="inlineStr">
        <is>
          <t>GB 100x18x16 16mm NW P3Y</t>
        </is>
      </c>
      <c r="D100" t="n">
        <v>2.9</v>
      </c>
      <c r="E100" t="inlineStr">
        <is>
          <t>100X18X16</t>
        </is>
      </c>
      <c r="F100" t="inlineStr">
        <is>
          <t>16MM</t>
        </is>
      </c>
      <c r="G100" t="inlineStr">
        <is>
          <t>NW</t>
        </is>
      </c>
      <c r="H100" t="inlineStr">
        <is>
          <t>P3Y</t>
        </is>
      </c>
      <c r="I100" t="inlineStr">
        <is>
          <t>N/A</t>
        </is>
      </c>
      <c r="J100" t="inlineStr">
        <is>
          <t>N/A</t>
        </is>
      </c>
      <c r="K100" t="n">
        <v>6200</v>
      </c>
      <c r="L100" t="n">
        <v>7000</v>
      </c>
      <c r="M100" t="n">
        <v>7400</v>
      </c>
      <c r="N100" t="n">
        <v>7800</v>
      </c>
      <c r="O100" t="n">
        <v>8200</v>
      </c>
      <c r="P100" t="n">
        <v>8400</v>
      </c>
      <c r="Q100" t="n">
        <v>8800</v>
      </c>
      <c r="R100" t="n">
        <v>4.935518046302318</v>
      </c>
      <c r="S100" t="n">
        <v>4.921224252538479</v>
      </c>
      <c r="T100" t="n">
        <v>4.91523631190768</v>
      </c>
      <c r="U100" t="n">
        <v>4.909862519033888</v>
      </c>
      <c r="V100" t="n">
        <v>4.905012998635587</v>
      </c>
      <c r="W100" t="n">
        <v>4.902761435593518</v>
      </c>
      <c r="X100" t="n">
        <v>4.8985653408333</v>
      </c>
    </row>
    <row r="101">
      <c r="A101" t="inlineStr">
        <is>
          <t>100X18X16|16MM|NW|P3Y|HOLES|N/A</t>
        </is>
      </c>
      <c r="B101" t="inlineStr">
        <is>
          <t>GB-1001816-M003-41</t>
        </is>
      </c>
      <c r="C101" t="inlineStr">
        <is>
          <t>GB 100x18x16 16mm NW P3Y + HOLES</t>
        </is>
      </c>
      <c r="D101" t="n">
        <v>2.9</v>
      </c>
      <c r="E101" t="inlineStr">
        <is>
          <t>100X18X16</t>
        </is>
      </c>
      <c r="F101" t="inlineStr">
        <is>
          <t>16MM</t>
        </is>
      </c>
      <c r="G101" t="inlineStr">
        <is>
          <t>NW</t>
        </is>
      </c>
      <c r="H101" t="inlineStr">
        <is>
          <t>P3Y</t>
        </is>
      </c>
      <c r="I101" t="inlineStr">
        <is>
          <t>HOLES</t>
        </is>
      </c>
      <c r="J101" t="inlineStr">
        <is>
          <t>N/A</t>
        </is>
      </c>
      <c r="K101" t="n">
        <v>6200</v>
      </c>
      <c r="L101" t="n">
        <v>7000</v>
      </c>
      <c r="M101" t="n">
        <v>7400</v>
      </c>
      <c r="N101" t="n">
        <v>7800</v>
      </c>
      <c r="O101" t="n">
        <v>8200</v>
      </c>
      <c r="P101" t="n">
        <v>8400</v>
      </c>
      <c r="Q101" t="n">
        <v>8800</v>
      </c>
      <c r="R101" t="n">
        <v>4.954156195652968</v>
      </c>
      <c r="S101" t="n">
        <v>4.939862401889128</v>
      </c>
      <c r="T101" t="n">
        <v>4.933874461258329</v>
      </c>
      <c r="U101" t="n">
        <v>4.928500668384538</v>
      </c>
      <c r="V101" t="n">
        <v>4.923651147986235</v>
      </c>
      <c r="W101" t="n">
        <v>4.921399584944167</v>
      </c>
      <c r="X101" t="n">
        <v>4.917203490183949</v>
      </c>
    </row>
    <row r="102">
      <c r="A102" t="inlineStr">
        <is>
          <t>100X18X16|16MM|NW|P3Y|HOLES|N/A</t>
        </is>
      </c>
      <c r="B102" t="inlineStr">
        <is>
          <t>GB-1001816-M003-42</t>
        </is>
      </c>
      <c r="C102" t="inlineStr">
        <is>
          <t>GB 100x18x16 16mm NW P3Y + HOLES</t>
        </is>
      </c>
      <c r="D102" t="n">
        <v>3.1</v>
      </c>
      <c r="E102" t="inlineStr">
        <is>
          <t>100X18X16</t>
        </is>
      </c>
      <c r="F102" t="inlineStr">
        <is>
          <t>16MM</t>
        </is>
      </c>
      <c r="G102" t="inlineStr">
        <is>
          <t>NW</t>
        </is>
      </c>
      <c r="H102" t="inlineStr">
        <is>
          <t>P3Y</t>
        </is>
      </c>
      <c r="I102" t="inlineStr">
        <is>
          <t>HOLES</t>
        </is>
      </c>
      <c r="J102" t="inlineStr">
        <is>
          <t>N/A</t>
        </is>
      </c>
      <c r="K102" t="n">
        <v>5800</v>
      </c>
      <c r="L102" t="n">
        <v>6600</v>
      </c>
      <c r="M102" t="n">
        <v>7000</v>
      </c>
      <c r="N102" t="n">
        <v>7200</v>
      </c>
      <c r="O102" t="n">
        <v>7600</v>
      </c>
      <c r="P102" t="n">
        <v>8000</v>
      </c>
      <c r="Q102" t="n">
        <v>8200</v>
      </c>
      <c r="R102" t="n">
        <v>5.234479924697963</v>
      </c>
      <c r="S102" t="n">
        <v>5.218274317348156</v>
      </c>
      <c r="T102" t="n">
        <v>5.211560565731807</v>
      </c>
      <c r="U102" t="n">
        <v>5.208483429574313</v>
      </c>
      <c r="V102" t="n">
        <v>5.202815020863141</v>
      </c>
      <c r="W102" t="n">
        <v>5.197713453023087</v>
      </c>
      <c r="X102" t="n">
        <v>5.195349311828915</v>
      </c>
    </row>
    <row r="103">
      <c r="A103" t="inlineStr">
        <is>
          <t>100X18X16|PRO 5050|NW|P3Y|N/A|N/A</t>
        </is>
      </c>
      <c r="B103" t="inlineStr">
        <is>
          <t>GB-1001816-M105-15</t>
        </is>
      </c>
      <c r="C103" t="inlineStr">
        <is>
          <t>GB 100x18x16 PRO 5050 NW P3Y</t>
        </is>
      </c>
      <c r="D103" t="n">
        <v>3.3</v>
      </c>
      <c r="E103" t="inlineStr">
        <is>
          <t>100X18X16</t>
        </is>
      </c>
      <c r="F103" t="inlineStr">
        <is>
          <t>PRO 5050</t>
        </is>
      </c>
      <c r="G103" t="inlineStr">
        <is>
          <t>NW</t>
        </is>
      </c>
      <c r="H103" t="inlineStr">
        <is>
          <t>P3Y</t>
        </is>
      </c>
      <c r="I103" t="inlineStr">
        <is>
          <t>N/A</t>
        </is>
      </c>
      <c r="J103" t="inlineStr">
        <is>
          <t>N/A</t>
        </is>
      </c>
      <c r="K103" t="n">
        <v>5400</v>
      </c>
      <c r="L103" t="n">
        <v>6200</v>
      </c>
      <c r="M103" t="n">
        <v>6600</v>
      </c>
      <c r="N103" t="n">
        <v>6800</v>
      </c>
      <c r="O103" t="n">
        <v>7200</v>
      </c>
      <c r="P103" t="n">
        <v>7400</v>
      </c>
      <c r="Q103" t="n">
        <v>7800</v>
      </c>
      <c r="R103" t="n">
        <v>4.467883145655033</v>
      </c>
      <c r="S103" t="n">
        <v>4.449354153738945</v>
      </c>
      <c r="T103" t="n">
        <v>4.441774111591454</v>
      </c>
      <c r="U103" t="n">
        <v>4.438318504141862</v>
      </c>
      <c r="V103" t="n">
        <v>4.431983223817611</v>
      </c>
      <c r="W103" t="n">
        <v>4.429072419344307</v>
      </c>
      <c r="X103" t="n">
        <v>4.423698626470514</v>
      </c>
    </row>
    <row r="104">
      <c r="A104" t="inlineStr">
        <is>
          <t>100X18X16|PRO 5050|NW|P3Y|HOLES|N/A</t>
        </is>
      </c>
      <c r="B104" t="inlineStr">
        <is>
          <t>GB-1001816-M105-16</t>
        </is>
      </c>
      <c r="C104" t="inlineStr">
        <is>
          <t>GB 100x18x16 PRO 5050 NW P3Y +HOLES</t>
        </is>
      </c>
      <c r="D104" t="n">
        <v>3.3</v>
      </c>
      <c r="E104" t="inlineStr">
        <is>
          <t>100X18X16</t>
        </is>
      </c>
      <c r="F104" t="inlineStr">
        <is>
          <t>PRO 5050</t>
        </is>
      </c>
      <c r="G104" t="inlineStr">
        <is>
          <t>NW</t>
        </is>
      </c>
      <c r="H104" t="inlineStr">
        <is>
          <t>P3Y</t>
        </is>
      </c>
      <c r="I104" t="inlineStr">
        <is>
          <t>HOLES</t>
        </is>
      </c>
      <c r="J104" t="inlineStr">
        <is>
          <t>N/A</t>
        </is>
      </c>
      <c r="K104" t="n">
        <v>5400</v>
      </c>
      <c r="L104" t="n">
        <v>6200</v>
      </c>
      <c r="M104" t="n">
        <v>6600</v>
      </c>
      <c r="N104" t="n">
        <v>6800</v>
      </c>
      <c r="O104" t="n">
        <v>7200</v>
      </c>
      <c r="P104" t="n">
        <v>7400</v>
      </c>
      <c r="Q104" t="n">
        <v>7800</v>
      </c>
      <c r="R104" t="n">
        <v>4.467883145655033</v>
      </c>
      <c r="S104" t="n">
        <v>4.449354153738945</v>
      </c>
      <c r="T104" t="n">
        <v>4.441774111591454</v>
      </c>
      <c r="U104" t="n">
        <v>4.438318504141862</v>
      </c>
      <c r="V104" t="n">
        <v>4.431983223817611</v>
      </c>
      <c r="W104" t="n">
        <v>4.429072419344307</v>
      </c>
      <c r="X104" t="n">
        <v>4.423698626470514</v>
      </c>
    </row>
    <row r="105">
      <c r="A105" t="inlineStr">
        <is>
          <t>100X18X16|PRO 5050|NW|P3Y|HOLES|N/A</t>
        </is>
      </c>
      <c r="B105" t="inlineStr">
        <is>
          <t>GB-1001816-M105-18</t>
        </is>
      </c>
      <c r="C105" t="inlineStr">
        <is>
          <t>GB 100x18x16 PRO 5050 NW P3Y +HOLES</t>
        </is>
      </c>
      <c r="D105" t="n">
        <v>3.3</v>
      </c>
      <c r="E105" t="inlineStr">
        <is>
          <t>100X18X16</t>
        </is>
      </c>
      <c r="F105" t="inlineStr">
        <is>
          <t>PRO 5050</t>
        </is>
      </c>
      <c r="G105" t="inlineStr">
        <is>
          <t>NW</t>
        </is>
      </c>
      <c r="H105" t="inlineStr">
        <is>
          <t>P3Y</t>
        </is>
      </c>
      <c r="I105" t="inlineStr">
        <is>
          <t>HOLES</t>
        </is>
      </c>
      <c r="J105" t="inlineStr">
        <is>
          <t>N/A</t>
        </is>
      </c>
      <c r="K105" t="n">
        <v>5400</v>
      </c>
      <c r="L105" t="n">
        <v>6200</v>
      </c>
      <c r="M105" t="n">
        <v>6600</v>
      </c>
      <c r="N105" t="n">
        <v>6800</v>
      </c>
      <c r="O105" t="n">
        <v>7200</v>
      </c>
      <c r="P105" t="n">
        <v>7400</v>
      </c>
      <c r="Q105" t="n">
        <v>7800</v>
      </c>
      <c r="R105" t="n">
        <v>4.467883145655033</v>
      </c>
      <c r="S105" t="n">
        <v>4.449354153738945</v>
      </c>
      <c r="T105" t="n">
        <v>4.441774111591454</v>
      </c>
      <c r="U105" t="n">
        <v>4.438318504141862</v>
      </c>
      <c r="V105" t="n">
        <v>4.431983223817611</v>
      </c>
      <c r="W105" t="n">
        <v>4.429072419344307</v>
      </c>
      <c r="X105" t="n">
        <v>4.423698626470514</v>
      </c>
    </row>
    <row r="106">
      <c r="A106" t="inlineStr">
        <is>
          <t>100X18X16|PRO 5050|NW|P3Y|N/A|N/A</t>
        </is>
      </c>
      <c r="B106" t="inlineStr">
        <is>
          <t>GB-1001816-M105-19</t>
        </is>
      </c>
      <c r="C106" t="inlineStr">
        <is>
          <t>GB 100x18x16 PRO 5050 NW P3Y</t>
        </is>
      </c>
      <c r="D106" t="n">
        <v>3.3</v>
      </c>
      <c r="E106" t="inlineStr">
        <is>
          <t>100X18X16</t>
        </is>
      </c>
      <c r="F106" t="inlineStr">
        <is>
          <t>PRO 5050</t>
        </is>
      </c>
      <c r="G106" t="inlineStr">
        <is>
          <t>NW</t>
        </is>
      </c>
      <c r="H106" t="inlineStr">
        <is>
          <t>P3Y</t>
        </is>
      </c>
      <c r="I106" t="inlineStr">
        <is>
          <t>N/A</t>
        </is>
      </c>
      <c r="J106" t="inlineStr">
        <is>
          <t>N/A</t>
        </is>
      </c>
      <c r="K106" t="n">
        <v>5400</v>
      </c>
      <c r="L106" t="n">
        <v>6200</v>
      </c>
      <c r="M106" t="n">
        <v>6600</v>
      </c>
      <c r="N106" t="n">
        <v>6800</v>
      </c>
      <c r="O106" t="n">
        <v>7200</v>
      </c>
      <c r="P106" t="n">
        <v>7400</v>
      </c>
      <c r="Q106" t="n">
        <v>7800</v>
      </c>
      <c r="R106" t="n">
        <v>4.467883145655033</v>
      </c>
      <c r="S106" t="n">
        <v>4.449354153738945</v>
      </c>
      <c r="T106" t="n">
        <v>4.441774111591454</v>
      </c>
      <c r="U106" t="n">
        <v>4.438318504141862</v>
      </c>
      <c r="V106" t="n">
        <v>4.431983223817611</v>
      </c>
      <c r="W106" t="n">
        <v>4.429072419344307</v>
      </c>
      <c r="X106" t="n">
        <v>4.423698626470514</v>
      </c>
    </row>
    <row r="107">
      <c r="A107" t="inlineStr">
        <is>
          <t>100X18X16|PRO 5050|NW|P2Y|HOLES|N/A</t>
        </is>
      </c>
      <c r="B107" t="inlineStr">
        <is>
          <t>GB-1001816-M105-20</t>
        </is>
      </c>
      <c r="C107" t="inlineStr">
        <is>
          <t>GB 100x18x16 PRO 5050 NW P2Y + HOLES</t>
        </is>
      </c>
      <c r="D107" t="n">
        <v>3.3</v>
      </c>
      <c r="E107" t="inlineStr">
        <is>
          <t>100X18X16</t>
        </is>
      </c>
      <c r="F107" t="inlineStr">
        <is>
          <t>PRO 5050</t>
        </is>
      </c>
      <c r="G107" t="inlineStr">
        <is>
          <t>NW</t>
        </is>
      </c>
      <c r="H107" t="inlineStr">
        <is>
          <t>P2Y</t>
        </is>
      </c>
      <c r="I107" t="inlineStr">
        <is>
          <t>HOLES</t>
        </is>
      </c>
      <c r="J107" t="inlineStr">
        <is>
          <t>N/A</t>
        </is>
      </c>
      <c r="K107" t="n">
        <v>5400</v>
      </c>
      <c r="L107" t="n">
        <v>6200</v>
      </c>
      <c r="M107" t="n">
        <v>6600</v>
      </c>
      <c r="N107" t="n">
        <v>6800</v>
      </c>
      <c r="O107" t="n">
        <v>7200</v>
      </c>
      <c r="P107" t="n">
        <v>7400</v>
      </c>
      <c r="Q107" t="n">
        <v>7800</v>
      </c>
      <c r="R107" t="n">
        <v>4.367237139161527</v>
      </c>
      <c r="S107" t="n">
        <v>4.348708147245439</v>
      </c>
      <c r="T107" t="n">
        <v>4.341128105097948</v>
      </c>
      <c r="U107" t="n">
        <v>4.337672497648357</v>
      </c>
      <c r="V107" t="n">
        <v>4.331337217324105</v>
      </c>
      <c r="W107" t="n">
        <v>4.328426412850801</v>
      </c>
      <c r="X107" t="n">
        <v>4.323052619977008</v>
      </c>
    </row>
    <row r="108">
      <c r="A108" t="inlineStr">
        <is>
          <t>100X18X16|PRO 4060|NW|P1Y|HOLES|N/A</t>
        </is>
      </c>
      <c r="B108" t="inlineStr">
        <is>
          <t>GB-1001816-M106-01</t>
        </is>
      </c>
      <c r="C108" t="inlineStr">
        <is>
          <t>GB 100x18x16 PRO 4060 NW P1Y+HOLES</t>
        </is>
      </c>
      <c r="D108" t="n">
        <v>3.3</v>
      </c>
      <c r="E108" t="inlineStr">
        <is>
          <t>100X18X16</t>
        </is>
      </c>
      <c r="F108" t="inlineStr">
        <is>
          <t>PRO 4060</t>
        </is>
      </c>
      <c r="G108" t="inlineStr">
        <is>
          <t>NW</t>
        </is>
      </c>
      <c r="H108" t="inlineStr">
        <is>
          <t>P1Y</t>
        </is>
      </c>
      <c r="I108" t="inlineStr">
        <is>
          <t>HOLES</t>
        </is>
      </c>
      <c r="J108" t="inlineStr">
        <is>
          <t>N/A</t>
        </is>
      </c>
      <c r="K108" t="n">
        <v>5400</v>
      </c>
      <c r="L108" t="n">
        <v>6200</v>
      </c>
      <c r="M108" t="n">
        <v>6600</v>
      </c>
      <c r="N108" t="n">
        <v>6800</v>
      </c>
      <c r="O108" t="n">
        <v>7200</v>
      </c>
      <c r="P108" t="n">
        <v>7400</v>
      </c>
      <c r="Q108" t="n">
        <v>7800</v>
      </c>
      <c r="R108" t="n">
        <v>4.526218826693402</v>
      </c>
      <c r="S108" t="n">
        <v>4.507689834777314</v>
      </c>
      <c r="T108" t="n">
        <v>4.500109792629823</v>
      </c>
      <c r="U108" t="n">
        <v>4.496654185180232</v>
      </c>
      <c r="V108" t="n">
        <v>4.490318904855981</v>
      </c>
      <c r="W108" t="n">
        <v>4.487408100382677</v>
      </c>
      <c r="X108" t="n">
        <v>4.482034307508884</v>
      </c>
    </row>
    <row r="109">
      <c r="A109" t="inlineStr">
        <is>
          <t>100X18X16|PLF 3070|NW|P2Y|HOLES|N/A</t>
        </is>
      </c>
      <c r="B109" t="inlineStr">
        <is>
          <t>GB-1001816-M107-08</t>
        </is>
      </c>
      <c r="C109" t="inlineStr">
        <is>
          <t>GB 100x18x16 PLF 3070 NW P2Y + HOLES</t>
        </is>
      </c>
      <c r="D109" t="n">
        <v>3.2</v>
      </c>
      <c r="E109" t="inlineStr">
        <is>
          <t>100X18X16</t>
        </is>
      </c>
      <c r="F109" t="inlineStr">
        <is>
          <t>PLF 3070</t>
        </is>
      </c>
      <c r="G109" t="inlineStr">
        <is>
          <t>NW</t>
        </is>
      </c>
      <c r="H109" t="inlineStr">
        <is>
          <t>P2Y</t>
        </is>
      </c>
      <c r="I109" t="inlineStr">
        <is>
          <t>HOLES</t>
        </is>
      </c>
      <c r="J109" t="inlineStr">
        <is>
          <t>N/A</t>
        </is>
      </c>
      <c r="K109" t="n">
        <v>5600</v>
      </c>
      <c r="L109" t="n">
        <v>6400</v>
      </c>
      <c r="M109" t="n">
        <v>6800</v>
      </c>
      <c r="N109" t="n">
        <v>7000</v>
      </c>
      <c r="O109" t="n">
        <v>7400</v>
      </c>
      <c r="P109" t="n">
        <v>7600</v>
      </c>
      <c r="Q109" t="n">
        <v>8000</v>
      </c>
      <c r="R109" t="n">
        <v>4.114619603603614</v>
      </c>
      <c r="S109" t="n">
        <v>4.097310712717714</v>
      </c>
      <c r="T109" t="n">
        <v>4.090183522352932</v>
      </c>
      <c r="U109" t="n">
        <v>4.086925378186175</v>
      </c>
      <c r="V109" t="n">
        <v>4.080937437555376</v>
      </c>
      <c r="W109" t="n">
        <v>4.078179833317509</v>
      </c>
      <c r="X109" t="n">
        <v>4.073078265477455</v>
      </c>
    </row>
    <row r="110">
      <c r="A110" t="inlineStr">
        <is>
          <t>100X18X16|PLF 3070|NW|P2Y|N/A|N/A</t>
        </is>
      </c>
      <c r="B110" t="inlineStr">
        <is>
          <t>GB-1001816-M107-12</t>
        </is>
      </c>
      <c r="C110" t="inlineStr">
        <is>
          <t>GB 100x18x16 PLF 3070 NW P2Y</t>
        </is>
      </c>
      <c r="D110" t="n">
        <v>3.2</v>
      </c>
      <c r="E110" t="inlineStr">
        <is>
          <t>100X18X16</t>
        </is>
      </c>
      <c r="F110" t="inlineStr">
        <is>
          <t>PLF 3070</t>
        </is>
      </c>
      <c r="G110" t="inlineStr">
        <is>
          <t>NW</t>
        </is>
      </c>
      <c r="H110" t="inlineStr">
        <is>
          <t>P2Y</t>
        </is>
      </c>
      <c r="I110" t="inlineStr">
        <is>
          <t>N/A</t>
        </is>
      </c>
      <c r="J110" t="inlineStr">
        <is>
          <t>N/A</t>
        </is>
      </c>
      <c r="K110" t="n">
        <v>5600</v>
      </c>
      <c r="L110" t="n">
        <v>6400</v>
      </c>
      <c r="M110" t="n">
        <v>6800</v>
      </c>
      <c r="N110" t="n">
        <v>7000</v>
      </c>
      <c r="O110" t="n">
        <v>7400</v>
      </c>
      <c r="P110" t="n">
        <v>7600</v>
      </c>
      <c r="Q110" t="n">
        <v>8000</v>
      </c>
      <c r="R110" t="n">
        <v>4.118367799707511</v>
      </c>
      <c r="S110" t="n">
        <v>4.101058908821611</v>
      </c>
      <c r="T110" t="n">
        <v>4.093931718456829</v>
      </c>
      <c r="U110" t="n">
        <v>4.090673574290071</v>
      </c>
      <c r="V110" t="n">
        <v>4.084685633659274</v>
      </c>
      <c r="W110" t="n">
        <v>4.081928029421405</v>
      </c>
      <c r="X110" t="n">
        <v>4.076826461581351</v>
      </c>
    </row>
    <row r="111">
      <c r="A111" t="inlineStr">
        <is>
          <t>100X18X16|PLF 3070|NW|P3Y|N/A|N/A</t>
        </is>
      </c>
      <c r="B111" t="inlineStr">
        <is>
          <t>GB-1001816-M107-13</t>
        </is>
      </c>
      <c r="C111" t="inlineStr">
        <is>
          <t>GB 100x18x16 PLF 3070 NW P3Y</t>
        </is>
      </c>
      <c r="D111" t="n">
        <v>3.2</v>
      </c>
      <c r="E111" t="inlineStr">
        <is>
          <t>100X18X16</t>
        </is>
      </c>
      <c r="F111" t="inlineStr">
        <is>
          <t>PLF 3070</t>
        </is>
      </c>
      <c r="G111" t="inlineStr">
        <is>
          <t>NW</t>
        </is>
      </c>
      <c r="H111" t="inlineStr">
        <is>
          <t>P3Y</t>
        </is>
      </c>
      <c r="I111" t="inlineStr">
        <is>
          <t>N/A</t>
        </is>
      </c>
      <c r="J111" t="inlineStr">
        <is>
          <t>N/A</t>
        </is>
      </c>
      <c r="K111" t="n">
        <v>5600</v>
      </c>
      <c r="L111" t="n">
        <v>6400</v>
      </c>
      <c r="M111" t="n">
        <v>6800</v>
      </c>
      <c r="N111" t="n">
        <v>7000</v>
      </c>
      <c r="O111" t="n">
        <v>7400</v>
      </c>
      <c r="P111" t="n">
        <v>7600</v>
      </c>
      <c r="Q111" t="n">
        <v>8000</v>
      </c>
      <c r="R111" t="n">
        <v>4.215265610097121</v>
      </c>
      <c r="S111" t="n">
        <v>4.197956719211222</v>
      </c>
      <c r="T111" t="n">
        <v>4.190829528846439</v>
      </c>
      <c r="U111" t="n">
        <v>4.187571384679681</v>
      </c>
      <c r="V111" t="n">
        <v>4.181583444048884</v>
      </c>
      <c r="W111" t="n">
        <v>4.178825839811015</v>
      </c>
      <c r="X111" t="n">
        <v>4.173724271970961</v>
      </c>
    </row>
    <row r="112">
      <c r="A112" t="inlineStr">
        <is>
          <t>100X18X16|PLF 3070|NW|P3Y|HOLES|N/A</t>
        </is>
      </c>
      <c r="B112" t="inlineStr">
        <is>
          <t>GB-1001816-M107-14</t>
        </is>
      </c>
      <c r="C112" t="inlineStr">
        <is>
          <t>GB 100X18X16 PLF 3070 NW P3Y + HOLES</t>
        </is>
      </c>
      <c r="D112" t="n">
        <v>3.2</v>
      </c>
      <c r="E112" t="inlineStr">
        <is>
          <t>100X18X16</t>
        </is>
      </c>
      <c r="F112" t="inlineStr">
        <is>
          <t>PLF 3070</t>
        </is>
      </c>
      <c r="G112" t="inlineStr">
        <is>
          <t>NW</t>
        </is>
      </c>
      <c r="H112" t="inlineStr">
        <is>
          <t>P3Y</t>
        </is>
      </c>
      <c r="I112" t="inlineStr">
        <is>
          <t>HOLES</t>
        </is>
      </c>
      <c r="J112" t="inlineStr">
        <is>
          <t>N/A</t>
        </is>
      </c>
      <c r="K112" t="n">
        <v>5600</v>
      </c>
      <c r="L112" t="n">
        <v>6400</v>
      </c>
      <c r="M112" t="n">
        <v>6800</v>
      </c>
      <c r="N112" t="n">
        <v>7000</v>
      </c>
      <c r="O112" t="n">
        <v>7400</v>
      </c>
      <c r="P112" t="n">
        <v>7600</v>
      </c>
      <c r="Q112" t="n">
        <v>8000</v>
      </c>
      <c r="R112" t="n">
        <v>4.215265610097121</v>
      </c>
      <c r="S112" t="n">
        <v>4.197956719211222</v>
      </c>
      <c r="T112" t="n">
        <v>4.190829528846439</v>
      </c>
      <c r="U112" t="n">
        <v>4.187571384679681</v>
      </c>
      <c r="V112" t="n">
        <v>4.181583444048884</v>
      </c>
      <c r="W112" t="n">
        <v>4.178825839811015</v>
      </c>
      <c r="X112" t="n">
        <v>4.173724271970961</v>
      </c>
    </row>
    <row r="113">
      <c r="A113" t="inlineStr">
        <is>
          <t>100X18X16|PLF 3070|NW|P2Y|N/A|N/A</t>
        </is>
      </c>
      <c r="B113" t="inlineStr">
        <is>
          <t>GB-1001816-M107-15</t>
        </is>
      </c>
      <c r="C113" t="inlineStr">
        <is>
          <t>GB 100x18x16 PLF 3070 NW P2Y</t>
        </is>
      </c>
      <c r="D113" t="n">
        <v>3.2</v>
      </c>
      <c r="E113" t="inlineStr">
        <is>
          <t>100X18X16</t>
        </is>
      </c>
      <c r="F113" t="inlineStr">
        <is>
          <t>PLF 3070</t>
        </is>
      </c>
      <c r="G113" t="inlineStr">
        <is>
          <t>NW</t>
        </is>
      </c>
      <c r="H113" t="inlineStr">
        <is>
          <t>P2Y</t>
        </is>
      </c>
      <c r="I113" t="inlineStr">
        <is>
          <t>N/A</t>
        </is>
      </c>
      <c r="J113" t="inlineStr">
        <is>
          <t>N/A</t>
        </is>
      </c>
      <c r="K113" t="n">
        <v>5600</v>
      </c>
      <c r="L113" t="n">
        <v>6400</v>
      </c>
      <c r="M113" t="n">
        <v>6800</v>
      </c>
      <c r="N113" t="n">
        <v>7000</v>
      </c>
      <c r="O113" t="n">
        <v>7400</v>
      </c>
      <c r="P113" t="n">
        <v>7600</v>
      </c>
      <c r="Q113" t="n">
        <v>8000</v>
      </c>
      <c r="R113" t="n">
        <v>4.114619603603614</v>
      </c>
      <c r="S113" t="n">
        <v>4.097310712717714</v>
      </c>
      <c r="T113" t="n">
        <v>4.090183522352932</v>
      </c>
      <c r="U113" t="n">
        <v>4.086925378186175</v>
      </c>
      <c r="V113" t="n">
        <v>4.080937437555376</v>
      </c>
      <c r="W113" t="n">
        <v>4.078179833317509</v>
      </c>
      <c r="X113" t="n">
        <v>4.073078265477455</v>
      </c>
    </row>
    <row r="114">
      <c r="A114" t="inlineStr">
        <is>
          <t>100X18X16|PLF 3070|NW|P3Y|HOLES|BSU</t>
        </is>
      </c>
      <c r="B114" t="inlineStr">
        <is>
          <t>GB-1001816-M107-16</t>
        </is>
      </c>
      <c r="C114" t="inlineStr">
        <is>
          <t>GB 100x18x16 PLF 3070 NW BSU P3Y+HOLES</t>
        </is>
      </c>
      <c r="D114" t="n">
        <v>3.2</v>
      </c>
      <c r="E114" t="inlineStr">
        <is>
          <t>100X18X16</t>
        </is>
      </c>
      <c r="F114" t="inlineStr">
        <is>
          <t>PLF 3070</t>
        </is>
      </c>
      <c r="G114" t="inlineStr">
        <is>
          <t>NW</t>
        </is>
      </c>
      <c r="H114" t="inlineStr">
        <is>
          <t>P3Y</t>
        </is>
      </c>
      <c r="I114" t="inlineStr">
        <is>
          <t>HOLES</t>
        </is>
      </c>
      <c r="J114" t="inlineStr">
        <is>
          <t>BSU</t>
        </is>
      </c>
      <c r="K114" t="n">
        <v>5600</v>
      </c>
      <c r="L114" t="n">
        <v>6400</v>
      </c>
      <c r="M114" t="n">
        <v>6800</v>
      </c>
      <c r="N114" t="n">
        <v>7000</v>
      </c>
      <c r="O114" t="n">
        <v>7400</v>
      </c>
      <c r="P114" t="n">
        <v>7600</v>
      </c>
      <c r="Q114" t="n">
        <v>8000</v>
      </c>
      <c r="R114" t="n">
        <v>4.215265610097121</v>
      </c>
      <c r="S114" t="n">
        <v>4.197956719211222</v>
      </c>
      <c r="T114" t="n">
        <v>4.190829528846439</v>
      </c>
      <c r="U114" t="n">
        <v>4.187571384679681</v>
      </c>
      <c r="V114" t="n">
        <v>4.181583444048884</v>
      </c>
      <c r="W114" t="n">
        <v>4.178825839811015</v>
      </c>
      <c r="X114" t="n">
        <v>4.173724271970961</v>
      </c>
    </row>
    <row r="115">
      <c r="A115" t="inlineStr">
        <is>
          <t>100X18X16|PLF 3070|NW|P3Y|HOLES|N/A</t>
        </is>
      </c>
      <c r="B115" t="inlineStr">
        <is>
          <t>GB-1001816-M107-18</t>
        </is>
      </c>
      <c r="C115" t="inlineStr">
        <is>
          <t>GB 100x18x16 PLF 3070 NW P3Y+HOLES</t>
        </is>
      </c>
      <c r="D115" t="n">
        <v>3.2</v>
      </c>
      <c r="E115" t="inlineStr">
        <is>
          <t>100X18X16</t>
        </is>
      </c>
      <c r="F115" t="inlineStr">
        <is>
          <t>PLF 3070</t>
        </is>
      </c>
      <c r="G115" t="inlineStr">
        <is>
          <t>NW</t>
        </is>
      </c>
      <c r="H115" t="inlineStr">
        <is>
          <t>P3Y</t>
        </is>
      </c>
      <c r="I115" t="inlineStr">
        <is>
          <t>HOLES</t>
        </is>
      </c>
      <c r="J115" t="inlineStr">
        <is>
          <t>N/A</t>
        </is>
      </c>
      <c r="K115" t="n">
        <v>5600</v>
      </c>
      <c r="L115" t="n">
        <v>6400</v>
      </c>
      <c r="M115" t="n">
        <v>6800</v>
      </c>
      <c r="N115" t="n">
        <v>7000</v>
      </c>
      <c r="O115" t="n">
        <v>7400</v>
      </c>
      <c r="P115" t="n">
        <v>7600</v>
      </c>
      <c r="Q115" t="n">
        <v>8000</v>
      </c>
      <c r="R115" t="n">
        <v>4.215265610097121</v>
      </c>
      <c r="S115" t="n">
        <v>4.197956719211222</v>
      </c>
      <c r="T115" t="n">
        <v>4.190829528846439</v>
      </c>
      <c r="U115" t="n">
        <v>4.187571384679681</v>
      </c>
      <c r="V115" t="n">
        <v>4.181583444048884</v>
      </c>
      <c r="W115" t="n">
        <v>4.178825839811015</v>
      </c>
      <c r="X115" t="n">
        <v>4.173724271970961</v>
      </c>
    </row>
    <row r="116">
      <c r="A116" t="inlineStr">
        <is>
          <t>100X18X16|PLF 3070|NW|P2Y|HOLES|BSU</t>
        </is>
      </c>
      <c r="B116" t="inlineStr">
        <is>
          <t>GB-1001816-M107-19</t>
        </is>
      </c>
      <c r="C116" t="inlineStr">
        <is>
          <t>GB 100x18x16 PLF 3070 NW BSU P2Y + HOLES</t>
        </is>
      </c>
      <c r="D116" t="n">
        <v>3.2</v>
      </c>
      <c r="E116" t="inlineStr">
        <is>
          <t>100X18X16</t>
        </is>
      </c>
      <c r="F116" t="inlineStr">
        <is>
          <t>PLF 3070</t>
        </is>
      </c>
      <c r="G116" t="inlineStr">
        <is>
          <t>NW</t>
        </is>
      </c>
      <c r="H116" t="inlineStr">
        <is>
          <t>P2Y</t>
        </is>
      </c>
      <c r="I116" t="inlineStr">
        <is>
          <t>HOLES</t>
        </is>
      </c>
      <c r="J116" t="inlineStr">
        <is>
          <t>BSU</t>
        </is>
      </c>
      <c r="K116" t="n">
        <v>5600</v>
      </c>
      <c r="L116" t="n">
        <v>6400</v>
      </c>
      <c r="M116" t="n">
        <v>6800</v>
      </c>
      <c r="N116" t="n">
        <v>7000</v>
      </c>
      <c r="O116" t="n">
        <v>7400</v>
      </c>
      <c r="P116" t="n">
        <v>7600</v>
      </c>
      <c r="Q116" t="n">
        <v>8000</v>
      </c>
      <c r="R116" t="n">
        <v>4.114619603603614</v>
      </c>
      <c r="S116" t="n">
        <v>4.097310712717714</v>
      </c>
      <c r="T116" t="n">
        <v>4.090183522352932</v>
      </c>
      <c r="U116" t="n">
        <v>4.086925378186175</v>
      </c>
      <c r="V116" t="n">
        <v>4.080937437555376</v>
      </c>
      <c r="W116" t="n">
        <v>4.078179833317509</v>
      </c>
      <c r="X116" t="n">
        <v>4.073078265477455</v>
      </c>
    </row>
    <row r="117">
      <c r="A117" t="inlineStr">
        <is>
          <t>100X18X16|PLF 3070|NW|P3Y|HOLES|N/A</t>
        </is>
      </c>
      <c r="B117" t="inlineStr">
        <is>
          <t>GB-1001816-M107-20</t>
        </is>
      </c>
      <c r="C117" t="inlineStr">
        <is>
          <t>GB 100x18x16 PLF 3070 NW P3Y+HOLES</t>
        </is>
      </c>
      <c r="D117" t="n">
        <v>3</v>
      </c>
      <c r="E117" t="inlineStr">
        <is>
          <t>100X18X16</t>
        </is>
      </c>
      <c r="F117" t="inlineStr">
        <is>
          <t>PLF 3070</t>
        </is>
      </c>
      <c r="G117" t="inlineStr">
        <is>
          <t>NW</t>
        </is>
      </c>
      <c r="H117" t="inlineStr">
        <is>
          <t>P3Y</t>
        </is>
      </c>
      <c r="I117" t="inlineStr">
        <is>
          <t>HOLES</t>
        </is>
      </c>
      <c r="J117" t="inlineStr">
        <is>
          <t>N/A</t>
        </is>
      </c>
      <c r="K117" t="n">
        <v>6000</v>
      </c>
      <c r="L117" t="n">
        <v>6800</v>
      </c>
      <c r="M117" t="n">
        <v>7200</v>
      </c>
      <c r="N117" t="n">
        <v>7600</v>
      </c>
      <c r="O117" t="n">
        <v>7800</v>
      </c>
      <c r="P117" t="n">
        <v>8200</v>
      </c>
      <c r="Q117" t="n">
        <v>8600</v>
      </c>
      <c r="R117" t="n">
        <v>3.99008044733845</v>
      </c>
      <c r="S117" t="n">
        <v>3.974875774560249</v>
      </c>
      <c r="T117" t="n">
        <v>3.968540494235998</v>
      </c>
      <c r="U117" t="n">
        <v>3.962872085524825</v>
      </c>
      <c r="V117" t="n">
        <v>3.9602558968889</v>
      </c>
      <c r="W117" t="n">
        <v>3.955406376490599</v>
      </c>
      <c r="X117" t="n">
        <v>3.951007974268884</v>
      </c>
    </row>
    <row r="118">
      <c r="A118" t="inlineStr">
        <is>
          <t>100X18X16|PLF 3070|NW|P3Y|N/A|N/A</t>
        </is>
      </c>
      <c r="B118" t="inlineStr">
        <is>
          <t>GB-1001816-M107-21</t>
        </is>
      </c>
      <c r="C118" t="inlineStr">
        <is>
          <t>GB 100x18x16 PLF 3070 NW P3Y</t>
        </is>
      </c>
      <c r="D118" t="n">
        <v>3</v>
      </c>
      <c r="E118" t="inlineStr">
        <is>
          <t>100X18X16</t>
        </is>
      </c>
      <c r="F118" t="inlineStr">
        <is>
          <t>PLF 3070</t>
        </is>
      </c>
      <c r="G118" t="inlineStr">
        <is>
          <t>NW</t>
        </is>
      </c>
      <c r="H118" t="inlineStr">
        <is>
          <t>P3Y</t>
        </is>
      </c>
      <c r="I118" t="inlineStr">
        <is>
          <t>N/A</t>
        </is>
      </c>
      <c r="J118" t="inlineStr">
        <is>
          <t>N/A</t>
        </is>
      </c>
      <c r="K118" t="n">
        <v>6000</v>
      </c>
      <c r="L118" t="n">
        <v>6800</v>
      </c>
      <c r="M118" t="n">
        <v>7200</v>
      </c>
      <c r="N118" t="n">
        <v>7600</v>
      </c>
      <c r="O118" t="n">
        <v>7800</v>
      </c>
      <c r="P118" t="n">
        <v>8200</v>
      </c>
      <c r="Q118" t="n">
        <v>8600</v>
      </c>
      <c r="R118" t="n">
        <v>3.99008044733845</v>
      </c>
      <c r="S118" t="n">
        <v>3.974875774560249</v>
      </c>
      <c r="T118" t="n">
        <v>3.968540494235998</v>
      </c>
      <c r="U118" t="n">
        <v>3.962872085524825</v>
      </c>
      <c r="V118" t="n">
        <v>3.9602558968889</v>
      </c>
      <c r="W118" t="n">
        <v>3.955406376490599</v>
      </c>
      <c r="X118" t="n">
        <v>3.951007974268884</v>
      </c>
    </row>
    <row r="119">
      <c r="A119" t="inlineStr">
        <is>
          <t>100X18X16|PLF 3070|NW|P1Y|N/A|N/A</t>
        </is>
      </c>
      <c r="B119" t="inlineStr">
        <is>
          <t>GB-1001816-M107-22</t>
        </is>
      </c>
      <c r="C119" t="inlineStr">
        <is>
          <t>GB 100x18x16 PLF 3070 NW P1Y</t>
        </is>
      </c>
      <c r="D119" t="n">
        <v>3.2</v>
      </c>
      <c r="E119" t="inlineStr">
        <is>
          <t>100X18X16</t>
        </is>
      </c>
      <c r="F119" t="inlineStr">
        <is>
          <t>PLF 3070</t>
        </is>
      </c>
      <c r="G119" t="inlineStr">
        <is>
          <t>NW</t>
        </is>
      </c>
      <c r="H119" t="inlineStr">
        <is>
          <t>P1Y</t>
        </is>
      </c>
      <c r="I119" t="inlineStr">
        <is>
          <t>N/A</t>
        </is>
      </c>
      <c r="J119" t="inlineStr">
        <is>
          <t>N/A</t>
        </is>
      </c>
      <c r="K119" t="n">
        <v>5600</v>
      </c>
      <c r="L119" t="n">
        <v>6400</v>
      </c>
      <c r="M119" t="n">
        <v>6800</v>
      </c>
      <c r="N119" t="n">
        <v>7000</v>
      </c>
      <c r="O119" t="n">
        <v>7400</v>
      </c>
      <c r="P119" t="n">
        <v>7600</v>
      </c>
      <c r="Q119" t="n">
        <v>8000</v>
      </c>
      <c r="R119" t="n">
        <v>4.064296600356862</v>
      </c>
      <c r="S119" t="n">
        <v>4.046987709470962</v>
      </c>
      <c r="T119" t="n">
        <v>4.039860519106179</v>
      </c>
      <c r="U119" t="n">
        <v>4.036602374939422</v>
      </c>
      <c r="V119" t="n">
        <v>4.030614434308625</v>
      </c>
      <c r="W119" t="n">
        <v>4.027856830070756</v>
      </c>
      <c r="X119" t="n">
        <v>4.022755262230702</v>
      </c>
    </row>
    <row r="120">
      <c r="A120" t="inlineStr">
        <is>
          <t>100X18X16|PLF 3070|NW|P3Y|HOLES|N/A</t>
        </is>
      </c>
      <c r="B120" t="inlineStr">
        <is>
          <t>GB-1001816-M107-23</t>
        </is>
      </c>
      <c r="C120" t="inlineStr">
        <is>
          <t>GB 100x18x16 PLF 3070 NW P3Y+HOLES</t>
        </is>
      </c>
      <c r="D120" t="n">
        <v>3.2</v>
      </c>
      <c r="E120" t="inlineStr">
        <is>
          <t>100X18X16</t>
        </is>
      </c>
      <c r="F120" t="inlineStr">
        <is>
          <t>PLF 3070</t>
        </is>
      </c>
      <c r="G120" t="inlineStr">
        <is>
          <t>NW</t>
        </is>
      </c>
      <c r="H120" t="inlineStr">
        <is>
          <t>P3Y</t>
        </is>
      </c>
      <c r="I120" t="inlineStr">
        <is>
          <t>HOLES</t>
        </is>
      </c>
      <c r="J120" t="inlineStr">
        <is>
          <t>N/A</t>
        </is>
      </c>
      <c r="K120" t="n">
        <v>5600</v>
      </c>
      <c r="L120" t="n">
        <v>6400</v>
      </c>
      <c r="M120" t="n">
        <v>6800</v>
      </c>
      <c r="N120" t="n">
        <v>7000</v>
      </c>
      <c r="O120" t="n">
        <v>7400</v>
      </c>
      <c r="P120" t="n">
        <v>7600</v>
      </c>
      <c r="Q120" t="n">
        <v>8000</v>
      </c>
      <c r="R120" t="n">
        <v>4.215265610097121</v>
      </c>
      <c r="S120" t="n">
        <v>4.197956719211222</v>
      </c>
      <c r="T120" t="n">
        <v>4.190829528846439</v>
      </c>
      <c r="U120" t="n">
        <v>4.187571384679681</v>
      </c>
      <c r="V120" t="n">
        <v>4.181583444048884</v>
      </c>
      <c r="W120" t="n">
        <v>4.178825839811015</v>
      </c>
      <c r="X120" t="n">
        <v>4.173724271970961</v>
      </c>
    </row>
    <row r="121">
      <c r="A121" t="inlineStr">
        <is>
          <t>100X20X10|16MM|NW|P1Y|HOLES|N/A</t>
        </is>
      </c>
      <c r="B121" t="inlineStr">
        <is>
          <t>GB-1002010-M003-02</t>
        </is>
      </c>
      <c r="C121" t="inlineStr">
        <is>
          <t>GB 100x20x10 16mm NW P1Y + HOLES</t>
        </is>
      </c>
      <c r="D121" t="n">
        <v>2.15</v>
      </c>
      <c r="E121" t="inlineStr">
        <is>
          <t>100X20X10</t>
        </is>
      </c>
      <c r="F121" t="inlineStr">
        <is>
          <t>16MM</t>
        </is>
      </c>
      <c r="G121" t="inlineStr">
        <is>
          <t>NW</t>
        </is>
      </c>
      <c r="H121" t="inlineStr">
        <is>
          <t>P1Y</t>
        </is>
      </c>
      <c r="I121" t="inlineStr">
        <is>
          <t>HOLES</t>
        </is>
      </c>
      <c r="J121" t="inlineStr">
        <is>
          <t>N/A</t>
        </is>
      </c>
      <c r="K121" t="n">
        <v>8400</v>
      </c>
      <c r="L121" t="n">
        <v>9600</v>
      </c>
      <c r="M121" t="n">
        <v>10000</v>
      </c>
      <c r="N121" t="n">
        <v>10600</v>
      </c>
      <c r="O121" t="n">
        <v>11000</v>
      </c>
      <c r="P121" t="n">
        <v>11400</v>
      </c>
      <c r="Q121" t="n">
        <v>12000</v>
      </c>
      <c r="R121" t="n">
        <v>3.645784847094458</v>
      </c>
      <c r="S121" t="n">
        <v>3.634245586503858</v>
      </c>
      <c r="T121" t="n">
        <v>3.63101459353849</v>
      </c>
      <c r="U121" t="n">
        <v>3.626625320076104</v>
      </c>
      <c r="V121" t="n">
        <v>3.623965154341324</v>
      </c>
      <c r="W121" t="n">
        <v>3.621491666903722</v>
      </c>
      <c r="X121" t="n">
        <v>3.618090621677018</v>
      </c>
    </row>
    <row r="122">
      <c r="A122" t="inlineStr">
        <is>
          <t>100X20X10|PRO 6040|NW|P2Y|HOLES|N/A</t>
        </is>
      </c>
      <c r="B122" t="inlineStr">
        <is>
          <t>GB-1002010-M104-01</t>
        </is>
      </c>
      <c r="C122" t="inlineStr">
        <is>
          <t>GB 100x20x10 PRO 6040 NW P2Y + HOLES</t>
        </is>
      </c>
      <c r="D122" t="n">
        <v>2.35</v>
      </c>
      <c r="E122" t="inlineStr">
        <is>
          <t>100X20X10</t>
        </is>
      </c>
      <c r="F122" t="inlineStr">
        <is>
          <t>PRO 6040</t>
        </is>
      </c>
      <c r="G122" t="inlineStr">
        <is>
          <t>NW</t>
        </is>
      </c>
      <c r="H122" t="inlineStr">
        <is>
          <t>P2Y</t>
        </is>
      </c>
      <c r="I122" t="inlineStr">
        <is>
          <t>HOLES</t>
        </is>
      </c>
      <c r="J122" t="inlineStr">
        <is>
          <t>N/A</t>
        </is>
      </c>
      <c r="K122" t="n">
        <v>7600</v>
      </c>
      <c r="L122" t="n">
        <v>8800</v>
      </c>
      <c r="M122" t="n">
        <v>9200</v>
      </c>
      <c r="N122" t="n">
        <v>9600</v>
      </c>
      <c r="O122" t="n">
        <v>10000</v>
      </c>
      <c r="P122" t="n">
        <v>10400</v>
      </c>
      <c r="Q122" t="n">
        <v>10800</v>
      </c>
      <c r="R122" t="n">
        <v>3.073514426452462</v>
      </c>
      <c r="S122" t="n">
        <v>3.059601059615949</v>
      </c>
      <c r="T122" t="n">
        <v>3.055769842660967</v>
      </c>
      <c r="U122" t="n">
        <v>3.052257893785567</v>
      </c>
      <c r="V122" t="n">
        <v>3.049026900820199</v>
      </c>
      <c r="W122" t="n">
        <v>3.046044445775244</v>
      </c>
      <c r="X122" t="n">
        <v>3.043282913326212</v>
      </c>
    </row>
    <row r="123">
      <c r="A123" t="inlineStr">
        <is>
          <t>100X20X10|PRO 5050|NW|P1Y|HOLES|N/A</t>
        </is>
      </c>
      <c r="B123" t="inlineStr">
        <is>
          <t>GB-1002010-M105-09</t>
        </is>
      </c>
      <c r="C123" t="inlineStr">
        <is>
          <t>GB 100x20x10 PRO 5050 NW P1Y + HOLES</t>
        </is>
      </c>
      <c r="D123" t="n">
        <v>2.3</v>
      </c>
      <c r="E123" t="inlineStr">
        <is>
          <t>100X20X10</t>
        </is>
      </c>
      <c r="F123" t="inlineStr">
        <is>
          <t>PRO 5050</t>
        </is>
      </c>
      <c r="G123" t="inlineStr">
        <is>
          <t>NW</t>
        </is>
      </c>
      <c r="H123" t="inlineStr">
        <is>
          <t>P1Y</t>
        </is>
      </c>
      <c r="I123" t="inlineStr">
        <is>
          <t>HOLES</t>
        </is>
      </c>
      <c r="J123" t="inlineStr">
        <is>
          <t>N/A</t>
        </is>
      </c>
      <c r="K123" t="n">
        <v>7800</v>
      </c>
      <c r="L123" t="n">
        <v>9000</v>
      </c>
      <c r="M123" t="n">
        <v>9400</v>
      </c>
      <c r="N123" t="n">
        <v>9800</v>
      </c>
      <c r="O123" t="n">
        <v>10200</v>
      </c>
      <c r="P123" t="n">
        <v>10600</v>
      </c>
      <c r="Q123" t="n">
        <v>11200</v>
      </c>
      <c r="R123" t="n">
        <v>3.127198896678888</v>
      </c>
      <c r="S123" t="n">
        <v>3.113943540923533</v>
      </c>
      <c r="T123" t="n">
        <v>3.11027716592737</v>
      </c>
      <c r="U123" t="n">
        <v>3.106910086849263</v>
      </c>
      <c r="V123" t="n">
        <v>3.103807092404731</v>
      </c>
      <c r="W123" t="n">
        <v>3.100938286220165</v>
      </c>
      <c r="X123" t="n">
        <v>3.09701929205732</v>
      </c>
    </row>
    <row r="124">
      <c r="A124" t="inlineStr">
        <is>
          <t>100X20X10|PRO 4060|NW|P1Y|HOLES|N/A</t>
        </is>
      </c>
      <c r="B124" t="inlineStr">
        <is>
          <t>GB-1002010-M106-02</t>
        </is>
      </c>
      <c r="C124" t="inlineStr">
        <is>
          <t>GB 100X20X10 Pro 4060 NW P1Y + Holes</t>
        </is>
      </c>
      <c r="D124" t="n">
        <v>2.3</v>
      </c>
      <c r="E124" t="inlineStr">
        <is>
          <t>100X20X10</t>
        </is>
      </c>
      <c r="F124" t="inlineStr">
        <is>
          <t>PRO 4060</t>
        </is>
      </c>
      <c r="G124" t="inlineStr">
        <is>
          <t>NW</t>
        </is>
      </c>
      <c r="H124" t="inlineStr">
        <is>
          <t>P1Y</t>
        </is>
      </c>
      <c r="I124" t="inlineStr">
        <is>
          <t>HOLES</t>
        </is>
      </c>
      <c r="J124" t="inlineStr">
        <is>
          <t>N/A</t>
        </is>
      </c>
      <c r="K124" t="n">
        <v>7800</v>
      </c>
      <c r="L124" t="n">
        <v>9000</v>
      </c>
      <c r="M124" t="n">
        <v>9400</v>
      </c>
      <c r="N124" t="n">
        <v>9800</v>
      </c>
      <c r="O124" t="n">
        <v>10200</v>
      </c>
      <c r="P124" t="n">
        <v>10600</v>
      </c>
      <c r="Q124" t="n">
        <v>11200</v>
      </c>
      <c r="R124" t="n">
        <v>3.273077923585206</v>
      </c>
      <c r="S124" t="n">
        <v>3.25982256782985</v>
      </c>
      <c r="T124" t="n">
        <v>3.256156192833688</v>
      </c>
      <c r="U124" t="n">
        <v>3.25278911375558</v>
      </c>
      <c r="V124" t="n">
        <v>3.249686119311049</v>
      </c>
      <c r="W124" t="n">
        <v>3.246817313126482</v>
      </c>
      <c r="X124" t="n">
        <v>3.242898318963637</v>
      </c>
    </row>
    <row r="125">
      <c r="A125" t="inlineStr">
        <is>
          <t>100X20X10|PRO 4060|NW|P2Y|HOLES|N/A</t>
        </is>
      </c>
      <c r="B125" t="inlineStr">
        <is>
          <t>GB-1002010-M106-04</t>
        </is>
      </c>
      <c r="C125" t="inlineStr">
        <is>
          <t>GB 100x20x10 PRO 4060 NW P2Y+HOLES</t>
        </is>
      </c>
      <c r="D125" t="n">
        <v>2.3</v>
      </c>
      <c r="E125" t="inlineStr">
        <is>
          <t>100X20X10</t>
        </is>
      </c>
      <c r="F125" t="inlineStr">
        <is>
          <t>PRO 4060</t>
        </is>
      </c>
      <c r="G125" t="inlineStr">
        <is>
          <t>NW</t>
        </is>
      </c>
      <c r="H125" t="inlineStr">
        <is>
          <t>P2Y</t>
        </is>
      </c>
      <c r="I125" t="inlineStr">
        <is>
          <t>HOLES</t>
        </is>
      </c>
      <c r="J125" t="inlineStr">
        <is>
          <t>N/A</t>
        </is>
      </c>
      <c r="K125" t="n">
        <v>7800</v>
      </c>
      <c r="L125" t="n">
        <v>9000</v>
      </c>
      <c r="M125" t="n">
        <v>9400</v>
      </c>
      <c r="N125" t="n">
        <v>9800</v>
      </c>
      <c r="O125" t="n">
        <v>10200</v>
      </c>
      <c r="P125" t="n">
        <v>10600</v>
      </c>
      <c r="Q125" t="n">
        <v>11200</v>
      </c>
      <c r="R125" t="n">
        <v>3.314081852156635</v>
      </c>
      <c r="S125" t="n">
        <v>3.300826496401279</v>
      </c>
      <c r="T125" t="n">
        <v>3.297160121405116</v>
      </c>
      <c r="U125" t="n">
        <v>3.293793042327009</v>
      </c>
      <c r="V125" t="n">
        <v>3.290690047882478</v>
      </c>
      <c r="W125" t="n">
        <v>3.287821241697911</v>
      </c>
      <c r="X125" t="n">
        <v>3.283902247535066</v>
      </c>
    </row>
    <row r="126">
      <c r="A126" t="inlineStr">
        <is>
          <t>100X20X10|PLF 3070|NW|P2Y|HOLES|N/A</t>
        </is>
      </c>
      <c r="B126" t="inlineStr">
        <is>
          <t>GB-1002010-M107-08</t>
        </is>
      </c>
      <c r="C126" t="inlineStr">
        <is>
          <t>GB 100x20x10 PLF 3070 NW P2Y+HOLES</t>
        </is>
      </c>
      <c r="D126" t="n">
        <v>2.25</v>
      </c>
      <c r="E126" t="inlineStr">
        <is>
          <t>100X20X10</t>
        </is>
      </c>
      <c r="F126" t="inlineStr">
        <is>
          <t>PLF 3070</t>
        </is>
      </c>
      <c r="G126" t="inlineStr">
        <is>
          <t>NW</t>
        </is>
      </c>
      <c r="H126" t="inlineStr">
        <is>
          <t>P2Y</t>
        </is>
      </c>
      <c r="I126" t="inlineStr">
        <is>
          <t>HOLES</t>
        </is>
      </c>
      <c r="J126" t="inlineStr">
        <is>
          <t>N/A</t>
        </is>
      </c>
      <c r="K126" t="n">
        <v>8000</v>
      </c>
      <c r="L126" t="n">
        <v>9200</v>
      </c>
      <c r="M126" t="n">
        <v>9600</v>
      </c>
      <c r="N126" t="n">
        <v>10000</v>
      </c>
      <c r="O126" t="n">
        <v>10400</v>
      </c>
      <c r="P126" t="n">
        <v>11000</v>
      </c>
      <c r="Q126" t="n">
        <v>11400</v>
      </c>
      <c r="R126" t="n">
        <v>3.012692690249003</v>
      </c>
      <c r="S126" t="n">
        <v>3.000049674297563</v>
      </c>
      <c r="T126" t="n">
        <v>2.996537725422164</v>
      </c>
      <c r="U126" t="n">
        <v>2.993306732456795</v>
      </c>
      <c r="V126" t="n">
        <v>2.99032427741184</v>
      </c>
      <c r="W126" t="n">
        <v>2.986257293259629</v>
      </c>
      <c r="X126" t="n">
        <v>2.983783805822026</v>
      </c>
    </row>
    <row r="127">
      <c r="A127" t="inlineStr">
        <is>
          <t>100X20X12|16MM|NW|P2Y|N/A|N/A</t>
        </is>
      </c>
      <c r="B127" t="inlineStr">
        <is>
          <t>GB-1002012-M003-01</t>
        </is>
      </c>
      <c r="C127" t="inlineStr">
        <is>
          <t>GB 100x20x12 16mm NW P2Y</t>
        </is>
      </c>
      <c r="D127" t="n">
        <v>2.55</v>
      </c>
      <c r="E127" t="inlineStr">
        <is>
          <t>100X20X12</t>
        </is>
      </c>
      <c r="F127" t="inlineStr">
        <is>
          <t>16MM</t>
        </is>
      </c>
      <c r="G127" t="inlineStr">
        <is>
          <t>NW</t>
        </is>
      </c>
      <c r="H127" t="inlineStr">
        <is>
          <t>P2Y</t>
        </is>
      </c>
      <c r="I127" t="inlineStr">
        <is>
          <t>N/A</t>
        </is>
      </c>
      <c r="J127" t="inlineStr">
        <is>
          <t>N/A</t>
        </is>
      </c>
      <c r="K127" t="n">
        <v>7000</v>
      </c>
      <c r="L127" t="n">
        <v>8000</v>
      </c>
      <c r="M127" t="n">
        <v>8400</v>
      </c>
      <c r="N127" t="n">
        <v>8800</v>
      </c>
      <c r="O127" t="n">
        <v>9200</v>
      </c>
      <c r="P127" t="n">
        <v>9600</v>
      </c>
      <c r="Q127" t="n">
        <v>10000</v>
      </c>
      <c r="R127" t="n">
        <v>4.362927421644143</v>
      </c>
      <c r="S127" t="n">
        <v>4.349080308935424</v>
      </c>
      <c r="T127" t="n">
        <v>4.344464604699182</v>
      </c>
      <c r="U127" t="n">
        <v>4.340268509938965</v>
      </c>
      <c r="V127" t="n">
        <v>4.336437292983982</v>
      </c>
      <c r="W127" t="n">
        <v>4.332925344108582</v>
      </c>
      <c r="X127" t="n">
        <v>4.329694351143214</v>
      </c>
    </row>
    <row r="128">
      <c r="A128" t="inlineStr">
        <is>
          <t>100X20X12|16MM|||HOLES|N/A</t>
        </is>
      </c>
      <c r="B128" t="inlineStr">
        <is>
          <t>GB-1002012-M003-02</t>
        </is>
      </c>
      <c r="C128" t="inlineStr">
        <is>
          <t>GB 100x20x12 16mm + HOLES</t>
        </is>
      </c>
      <c r="D128" t="n">
        <v>2.55</v>
      </c>
      <c r="E128" t="inlineStr">
        <is>
          <t>100X20X12</t>
        </is>
      </c>
      <c r="F128" t="inlineStr">
        <is>
          <t>16MM</t>
        </is>
      </c>
      <c r="G128" t="inlineStr"/>
      <c r="H128" t="inlineStr"/>
      <c r="I128" t="inlineStr">
        <is>
          <t>HOLES</t>
        </is>
      </c>
      <c r="J128" t="inlineStr">
        <is>
          <t>N/A</t>
        </is>
      </c>
      <c r="K128" t="n">
        <v>7000</v>
      </c>
      <c r="L128" t="n">
        <v>8000</v>
      </c>
      <c r="M128" t="n">
        <v>8400</v>
      </c>
      <c r="N128" t="n">
        <v>8800</v>
      </c>
      <c r="O128" t="n">
        <v>9200</v>
      </c>
      <c r="P128" t="n">
        <v>9600</v>
      </c>
      <c r="Q128" t="n">
        <v>10000</v>
      </c>
      <c r="R128" t="n">
        <v>4.362927421644143</v>
      </c>
      <c r="S128" t="n">
        <v>4.349080308935424</v>
      </c>
      <c r="T128" t="n">
        <v>4.344464604699182</v>
      </c>
      <c r="U128" t="n">
        <v>4.340268509938965</v>
      </c>
      <c r="V128" t="n">
        <v>4.336437292983982</v>
      </c>
      <c r="W128" t="n">
        <v>4.332925344108582</v>
      </c>
      <c r="X128" t="n">
        <v>4.329694351143214</v>
      </c>
    </row>
    <row r="129">
      <c r="A129" t="inlineStr">
        <is>
          <t>100X20X12|16MM|NW|P2Y|HOLES|N/A</t>
        </is>
      </c>
      <c r="B129" t="inlineStr">
        <is>
          <t>GB-1002012-M003-04</t>
        </is>
      </c>
      <c r="C129" t="inlineStr">
        <is>
          <t>GB 100x20x12 16mm NW P2Y + HOLES</t>
        </is>
      </c>
      <c r="D129" t="n">
        <v>2.55</v>
      </c>
      <c r="E129" t="inlineStr">
        <is>
          <t>100X20X12</t>
        </is>
      </c>
      <c r="F129" t="inlineStr">
        <is>
          <t>16MM</t>
        </is>
      </c>
      <c r="G129" t="inlineStr">
        <is>
          <t>NW</t>
        </is>
      </c>
      <c r="H129" t="inlineStr">
        <is>
          <t>P2Y</t>
        </is>
      </c>
      <c r="I129" t="inlineStr">
        <is>
          <t>HOLES</t>
        </is>
      </c>
      <c r="J129" t="inlineStr">
        <is>
          <t>N/A</t>
        </is>
      </c>
      <c r="K129" t="n">
        <v>7000</v>
      </c>
      <c r="L129" t="n">
        <v>8000</v>
      </c>
      <c r="M129" t="n">
        <v>8400</v>
      </c>
      <c r="N129" t="n">
        <v>8800</v>
      </c>
      <c r="O129" t="n">
        <v>9200</v>
      </c>
      <c r="P129" t="n">
        <v>9600</v>
      </c>
      <c r="Q129" t="n">
        <v>10000</v>
      </c>
      <c r="R129" t="n">
        <v>4.362927421644143</v>
      </c>
      <c r="S129" t="n">
        <v>4.349080308935424</v>
      </c>
      <c r="T129" t="n">
        <v>4.344464604699182</v>
      </c>
      <c r="U129" t="n">
        <v>4.340268509938965</v>
      </c>
      <c r="V129" t="n">
        <v>4.336437292983982</v>
      </c>
      <c r="W129" t="n">
        <v>4.332925344108582</v>
      </c>
      <c r="X129" t="n">
        <v>4.329694351143214</v>
      </c>
    </row>
    <row r="130">
      <c r="A130" t="inlineStr">
        <is>
          <t>100X20X12|16MM|NW||N/A|N/A</t>
        </is>
      </c>
      <c r="B130" t="inlineStr">
        <is>
          <t>GB-1002012-M003-06</t>
        </is>
      </c>
      <c r="C130" t="inlineStr">
        <is>
          <t>GB 100x20x12 16mm NW</t>
        </is>
      </c>
      <c r="D130" t="n">
        <v>2.55</v>
      </c>
      <c r="E130" t="inlineStr">
        <is>
          <t>100X20X12</t>
        </is>
      </c>
      <c r="F130" t="inlineStr">
        <is>
          <t>16MM</t>
        </is>
      </c>
      <c r="G130" t="inlineStr">
        <is>
          <t>NW</t>
        </is>
      </c>
      <c r="H130" t="inlineStr"/>
      <c r="I130" t="inlineStr">
        <is>
          <t>N/A</t>
        </is>
      </c>
      <c r="J130" t="inlineStr">
        <is>
          <t>N/A</t>
        </is>
      </c>
      <c r="K130" t="n">
        <v>7000</v>
      </c>
      <c r="L130" t="n">
        <v>8000</v>
      </c>
      <c r="M130" t="n">
        <v>8400</v>
      </c>
      <c r="N130" t="n">
        <v>8800</v>
      </c>
      <c r="O130" t="n">
        <v>9200</v>
      </c>
      <c r="P130" t="n">
        <v>9600</v>
      </c>
      <c r="Q130" t="n">
        <v>10000</v>
      </c>
      <c r="R130" t="n">
        <v>4.316332048267519</v>
      </c>
      <c r="S130" t="n">
        <v>4.302484935558799</v>
      </c>
      <c r="T130" t="n">
        <v>4.29786923132256</v>
      </c>
      <c r="U130" t="n">
        <v>4.293673136562341</v>
      </c>
      <c r="V130" t="n">
        <v>4.289841919607359</v>
      </c>
      <c r="W130" t="n">
        <v>4.286329970731959</v>
      </c>
      <c r="X130" t="n">
        <v>4.283098977766592</v>
      </c>
    </row>
    <row r="131">
      <c r="A131" t="inlineStr">
        <is>
          <t>100X20X12|16MM|NW|P2Y|N/A|N/A</t>
        </is>
      </c>
      <c r="B131" t="inlineStr">
        <is>
          <t>GB-1002012-M003-07</t>
        </is>
      </c>
      <c r="C131" t="inlineStr">
        <is>
          <t>GB 100x20x12 16mm NW P2Y</t>
        </is>
      </c>
      <c r="D131" t="n">
        <v>2.55</v>
      </c>
      <c r="E131" t="inlineStr">
        <is>
          <t>100X20X12</t>
        </is>
      </c>
      <c r="F131" t="inlineStr">
        <is>
          <t>16MM</t>
        </is>
      </c>
      <c r="G131" t="inlineStr">
        <is>
          <t>NW</t>
        </is>
      </c>
      <c r="H131" t="inlineStr">
        <is>
          <t>P2Y</t>
        </is>
      </c>
      <c r="I131" t="inlineStr">
        <is>
          <t>N/A</t>
        </is>
      </c>
      <c r="J131" t="inlineStr">
        <is>
          <t>N/A</t>
        </is>
      </c>
      <c r="K131" t="n">
        <v>7000</v>
      </c>
      <c r="L131" t="n">
        <v>8000</v>
      </c>
      <c r="M131" t="n">
        <v>8400</v>
      </c>
      <c r="N131" t="n">
        <v>8800</v>
      </c>
      <c r="O131" t="n">
        <v>9200</v>
      </c>
      <c r="P131" t="n">
        <v>9600</v>
      </c>
      <c r="Q131" t="n">
        <v>10000</v>
      </c>
      <c r="R131" t="n">
        <v>4.362927421644143</v>
      </c>
      <c r="S131" t="n">
        <v>4.349080308935424</v>
      </c>
      <c r="T131" t="n">
        <v>4.344464604699182</v>
      </c>
      <c r="U131" t="n">
        <v>4.340268509938965</v>
      </c>
      <c r="V131" t="n">
        <v>4.336437292983982</v>
      </c>
      <c r="W131" t="n">
        <v>4.332925344108582</v>
      </c>
      <c r="X131" t="n">
        <v>4.329694351143214</v>
      </c>
    </row>
    <row r="132">
      <c r="A132" t="inlineStr">
        <is>
          <t>100X20X12|16MM|NW|P3Y|HOLES|N/A</t>
        </is>
      </c>
      <c r="B132" t="inlineStr">
        <is>
          <t>GB-1002012-M003-08</t>
        </is>
      </c>
      <c r="C132" t="inlineStr">
        <is>
          <t>GB 100x20x12 16mm NW P3Y + HOLES</t>
        </is>
      </c>
      <c r="D132" t="n">
        <v>2.55</v>
      </c>
      <c r="E132" t="inlineStr">
        <is>
          <t>100X20X12</t>
        </is>
      </c>
      <c r="F132" t="inlineStr">
        <is>
          <t>16MM</t>
        </is>
      </c>
      <c r="G132" t="inlineStr">
        <is>
          <t>NW</t>
        </is>
      </c>
      <c r="H132" t="inlineStr">
        <is>
          <t>P3Y</t>
        </is>
      </c>
      <c r="I132" t="inlineStr">
        <is>
          <t>HOLES</t>
        </is>
      </c>
      <c r="J132" t="inlineStr">
        <is>
          <t>N/A</t>
        </is>
      </c>
      <c r="K132" t="n">
        <v>7000</v>
      </c>
      <c r="L132" t="n">
        <v>8000</v>
      </c>
      <c r="M132" t="n">
        <v>8400</v>
      </c>
      <c r="N132" t="n">
        <v>8800</v>
      </c>
      <c r="O132" t="n">
        <v>9200</v>
      </c>
      <c r="P132" t="n">
        <v>9600</v>
      </c>
      <c r="Q132" t="n">
        <v>10000</v>
      </c>
      <c r="R132" t="n">
        <v>4.454254353462325</v>
      </c>
      <c r="S132" t="n">
        <v>4.440407240753605</v>
      </c>
      <c r="T132" t="n">
        <v>4.435791536517365</v>
      </c>
      <c r="U132" t="n">
        <v>4.431595441757147</v>
      </c>
      <c r="V132" t="n">
        <v>4.427764224802165</v>
      </c>
      <c r="W132" t="n">
        <v>4.424252275926765</v>
      </c>
      <c r="X132" t="n">
        <v>4.421021282961397</v>
      </c>
    </row>
    <row r="133">
      <c r="A133" t="inlineStr">
        <is>
          <t>100X20X12|16MM|NW|P2Y|HOLES|N/A</t>
        </is>
      </c>
      <c r="B133" t="inlineStr">
        <is>
          <t>GB-1002012-M003-09</t>
        </is>
      </c>
      <c r="C133" t="inlineStr">
        <is>
          <t>GB 100x20x12 16mm NW P2Y + HOLES</t>
        </is>
      </c>
      <c r="D133" t="n">
        <v>2.55</v>
      </c>
      <c r="E133" t="inlineStr">
        <is>
          <t>100X20X12</t>
        </is>
      </c>
      <c r="F133" t="inlineStr">
        <is>
          <t>16MM</t>
        </is>
      </c>
      <c r="G133" t="inlineStr">
        <is>
          <t>NW</t>
        </is>
      </c>
      <c r="H133" t="inlineStr">
        <is>
          <t>P2Y</t>
        </is>
      </c>
      <c r="I133" t="inlineStr">
        <is>
          <t>HOLES</t>
        </is>
      </c>
      <c r="J133" t="inlineStr">
        <is>
          <t>N/A</t>
        </is>
      </c>
      <c r="K133" t="n">
        <v>7000</v>
      </c>
      <c r="L133" t="n">
        <v>8000</v>
      </c>
      <c r="M133" t="n">
        <v>8400</v>
      </c>
      <c r="N133" t="n">
        <v>8800</v>
      </c>
      <c r="O133" t="n">
        <v>9200</v>
      </c>
      <c r="P133" t="n">
        <v>9600</v>
      </c>
      <c r="Q133" t="n">
        <v>10000</v>
      </c>
      <c r="R133" t="n">
        <v>4.362927421644143</v>
      </c>
      <c r="S133" t="n">
        <v>4.349080308935424</v>
      </c>
      <c r="T133" t="n">
        <v>4.344464604699182</v>
      </c>
      <c r="U133" t="n">
        <v>4.340268509938965</v>
      </c>
      <c r="V133" t="n">
        <v>4.336437292983982</v>
      </c>
      <c r="W133" t="n">
        <v>4.332925344108582</v>
      </c>
      <c r="X133" t="n">
        <v>4.329694351143214</v>
      </c>
    </row>
    <row r="134">
      <c r="A134" t="inlineStr">
        <is>
          <t>100X20X12|PRO 8020|NW|P1Y|HOLES|N/A</t>
        </is>
      </c>
      <c r="B134" t="inlineStr">
        <is>
          <t>GB-1002012-M102-01</t>
        </is>
      </c>
      <c r="C134" t="inlineStr">
        <is>
          <t>GB 100x20x12 PRO 8020 NW P1Y + HOLES</t>
        </is>
      </c>
      <c r="D134" t="n">
        <v>2.7</v>
      </c>
      <c r="E134" t="inlineStr">
        <is>
          <t>100X20X12</t>
        </is>
      </c>
      <c r="F134" t="inlineStr">
        <is>
          <t>PRO 8020</t>
        </is>
      </c>
      <c r="G134" t="inlineStr">
        <is>
          <t>NW</t>
        </is>
      </c>
      <c r="H134" t="inlineStr">
        <is>
          <t>P1Y</t>
        </is>
      </c>
      <c r="I134" t="inlineStr">
        <is>
          <t>HOLES</t>
        </is>
      </c>
      <c r="J134" t="inlineStr">
        <is>
          <t>N/A</t>
        </is>
      </c>
      <c r="K134" t="n">
        <v>6600</v>
      </c>
      <c r="L134" t="n">
        <v>7600</v>
      </c>
      <c r="M134" t="n">
        <v>8000</v>
      </c>
      <c r="N134" t="n">
        <v>8400</v>
      </c>
      <c r="O134" t="n">
        <v>8800</v>
      </c>
      <c r="P134" t="n">
        <v>9000</v>
      </c>
      <c r="Q134" t="n">
        <v>9400</v>
      </c>
      <c r="R134" t="n">
        <v>3.139012890499412</v>
      </c>
      <c r="S134" t="n">
        <v>3.123553594014397</v>
      </c>
      <c r="T134" t="n">
        <v>3.118452026174343</v>
      </c>
      <c r="U134" t="n">
        <v>3.113836321938103</v>
      </c>
      <c r="V134" t="n">
        <v>3.109640227177885</v>
      </c>
      <c r="W134" t="n">
        <v>3.107682049623117</v>
      </c>
      <c r="X134" t="n">
        <v>3.104015674626954</v>
      </c>
    </row>
    <row r="135">
      <c r="A135" t="inlineStr">
        <is>
          <t>100X20X12|PRO 8020|NW|P1Y|N/A|N/A</t>
        </is>
      </c>
      <c r="B135" t="inlineStr">
        <is>
          <t>GB-1002012-M102-02</t>
        </is>
      </c>
      <c r="C135" t="inlineStr">
        <is>
          <t>GB 100x20x12 PRO 8020 NW P1Y</t>
        </is>
      </c>
      <c r="D135" t="n">
        <v>2.7</v>
      </c>
      <c r="E135" t="inlineStr">
        <is>
          <t>100X20X12</t>
        </is>
      </c>
      <c r="F135" t="inlineStr">
        <is>
          <t>PRO 8020</t>
        </is>
      </c>
      <c r="G135" t="inlineStr">
        <is>
          <t>NW</t>
        </is>
      </c>
      <c r="H135" t="inlineStr">
        <is>
          <t>P1Y</t>
        </is>
      </c>
      <c r="I135" t="inlineStr">
        <is>
          <t>N/A</t>
        </is>
      </c>
      <c r="J135" t="inlineStr">
        <is>
          <t>N/A</t>
        </is>
      </c>
      <c r="K135" t="n">
        <v>6600</v>
      </c>
      <c r="L135" t="n">
        <v>7600</v>
      </c>
      <c r="M135" t="n">
        <v>8000</v>
      </c>
      <c r="N135" t="n">
        <v>8400</v>
      </c>
      <c r="O135" t="n">
        <v>8800</v>
      </c>
      <c r="P135" t="n">
        <v>9000</v>
      </c>
      <c r="Q135" t="n">
        <v>9400</v>
      </c>
      <c r="R135" t="n">
        <v>3.139012890499412</v>
      </c>
      <c r="S135" t="n">
        <v>3.123553594014397</v>
      </c>
      <c r="T135" t="n">
        <v>3.118452026174343</v>
      </c>
      <c r="U135" t="n">
        <v>3.113836321938103</v>
      </c>
      <c r="V135" t="n">
        <v>3.109640227177885</v>
      </c>
      <c r="W135" t="n">
        <v>3.107682049623117</v>
      </c>
      <c r="X135" t="n">
        <v>3.104015674626954</v>
      </c>
    </row>
    <row r="136">
      <c r="A136" t="inlineStr">
        <is>
          <t>100X20X12|PRO 7030|NW|P1Y|HOLES|N/A</t>
        </is>
      </c>
      <c r="B136" t="inlineStr">
        <is>
          <t>GB-1002012-M103-01</t>
        </is>
      </c>
      <c r="C136" t="inlineStr">
        <is>
          <t>GB 100x20x12 PRO 7030 NW P1Y + HOLES</t>
        </is>
      </c>
      <c r="D136" t="n">
        <v>2.81</v>
      </c>
      <c r="E136" t="inlineStr">
        <is>
          <t>100X20X12</t>
        </is>
      </c>
      <c r="F136" t="inlineStr">
        <is>
          <t>PRO 7030</t>
        </is>
      </c>
      <c r="G136" t="inlineStr">
        <is>
          <t>NW</t>
        </is>
      </c>
      <c r="H136" t="inlineStr">
        <is>
          <t>P1Y</t>
        </is>
      </c>
      <c r="I136" t="inlineStr">
        <is>
          <t>HOLES</t>
        </is>
      </c>
      <c r="J136" t="inlineStr">
        <is>
          <t>N/A</t>
        </is>
      </c>
      <c r="K136" t="n">
        <v>6400</v>
      </c>
      <c r="L136" t="n">
        <v>7400</v>
      </c>
      <c r="M136" t="n">
        <v>7600</v>
      </c>
      <c r="N136" t="n">
        <v>8000</v>
      </c>
      <c r="O136" t="n">
        <v>8400</v>
      </c>
      <c r="P136" t="n">
        <v>8800</v>
      </c>
      <c r="Q136" t="n">
        <v>9000</v>
      </c>
      <c r="R136" t="n">
        <v>3.41816614923864</v>
      </c>
      <c r="S136" t="n">
        <v>3.401792874076302</v>
      </c>
      <c r="T136" t="n">
        <v>3.399035269838435</v>
      </c>
      <c r="U136" t="n">
        <v>3.393933701998381</v>
      </c>
      <c r="V136" t="n">
        <v>3.389317997762141</v>
      </c>
      <c r="W136" t="n">
        <v>3.385121903001922</v>
      </c>
      <c r="X136" t="n">
        <v>3.383163725447154</v>
      </c>
    </row>
    <row r="137">
      <c r="A137" t="inlineStr">
        <is>
          <t>100X20X12|PRO 4060|NW|P2Y|HOLES|N/A</t>
        </is>
      </c>
      <c r="B137" t="inlineStr">
        <is>
          <t>GB-1002012-M106-02</t>
        </is>
      </c>
      <c r="C137" t="inlineStr">
        <is>
          <t>GB 100x20x12 PRO 4060 NW P2Y+HOLES</t>
        </is>
      </c>
      <c r="D137" t="n">
        <v>2.72</v>
      </c>
      <c r="E137" t="inlineStr">
        <is>
          <t>100X20X12</t>
        </is>
      </c>
      <c r="F137" t="inlineStr">
        <is>
          <t>PRO 4060</t>
        </is>
      </c>
      <c r="G137" t="inlineStr">
        <is>
          <t>NW</t>
        </is>
      </c>
      <c r="H137" t="inlineStr">
        <is>
          <t>P2Y</t>
        </is>
      </c>
      <c r="I137" t="inlineStr">
        <is>
          <t>HOLES</t>
        </is>
      </c>
      <c r="J137" t="inlineStr">
        <is>
          <t>N/A</t>
        </is>
      </c>
      <c r="K137" t="n">
        <v>6600</v>
      </c>
      <c r="L137" t="n">
        <v>7600</v>
      </c>
      <c r="M137" t="n">
        <v>8000</v>
      </c>
      <c r="N137" t="n">
        <v>8200</v>
      </c>
      <c r="O137" t="n">
        <v>8600</v>
      </c>
      <c r="P137" t="n">
        <v>9000</v>
      </c>
      <c r="Q137" t="n">
        <v>9400</v>
      </c>
      <c r="R137" t="n">
        <v>3.887273198902511</v>
      </c>
      <c r="S137" t="n">
        <v>3.871813902417497</v>
      </c>
      <c r="T137" t="n">
        <v>3.866712334577443</v>
      </c>
      <c r="U137" t="n">
        <v>3.86434819338327</v>
      </c>
      <c r="V137" t="n">
        <v>3.859949791161557</v>
      </c>
      <c r="W137" t="n">
        <v>3.855942358026216</v>
      </c>
      <c r="X137" t="n">
        <v>3.852275983030054</v>
      </c>
    </row>
    <row r="138">
      <c r="A138" t="inlineStr">
        <is>
          <t>100X20X12|PLF 3070|NW|P2Y|HOLES|N/A</t>
        </is>
      </c>
      <c r="B138" t="inlineStr">
        <is>
          <t>GB-1002012-M107-02</t>
        </is>
      </c>
      <c r="C138" t="inlineStr">
        <is>
          <t>GB 100x20x12 PLF 3070 NW P2Y+HOLES</t>
        </is>
      </c>
      <c r="D138" t="n">
        <v>2.69</v>
      </c>
      <c r="E138" t="inlineStr">
        <is>
          <t>100X20X12</t>
        </is>
      </c>
      <c r="F138" t="inlineStr">
        <is>
          <t>PLF 3070</t>
        </is>
      </c>
      <c r="G138" t="inlineStr">
        <is>
          <t>NW</t>
        </is>
      </c>
      <c r="H138" t="inlineStr">
        <is>
          <t>P2Y</t>
        </is>
      </c>
      <c r="I138" t="inlineStr">
        <is>
          <t>HOLES</t>
        </is>
      </c>
      <c r="J138" t="inlineStr">
        <is>
          <t>N/A</t>
        </is>
      </c>
      <c r="K138" t="n">
        <v>6800</v>
      </c>
      <c r="L138" t="n">
        <v>7600</v>
      </c>
      <c r="M138" t="n">
        <v>8000</v>
      </c>
      <c r="N138" t="n">
        <v>8400</v>
      </c>
      <c r="O138" t="n">
        <v>8800</v>
      </c>
      <c r="P138" t="n">
        <v>9200</v>
      </c>
      <c r="Q138" t="n">
        <v>9400</v>
      </c>
      <c r="R138" t="n">
        <v>3.552438576307355</v>
      </c>
      <c r="S138" t="n">
        <v>3.540434887271932</v>
      </c>
      <c r="T138" t="n">
        <v>3.535333319431877</v>
      </c>
      <c r="U138" t="n">
        <v>3.530717615195637</v>
      </c>
      <c r="V138" t="n">
        <v>3.526521520435419</v>
      </c>
      <c r="W138" t="n">
        <v>3.522690303480437</v>
      </c>
      <c r="X138" t="n">
        <v>3.520896967884489</v>
      </c>
    </row>
    <row r="139">
      <c r="A139" t="inlineStr">
        <is>
          <t>100X20X12|PLF 3070|NW|P2Y|N/A|N/A</t>
        </is>
      </c>
      <c r="B139" t="inlineStr">
        <is>
          <t>GB-1002012-M107-06</t>
        </is>
      </c>
      <c r="C139" t="inlineStr">
        <is>
          <t>GB 100x20x12 PLF 3070 NW P2Y</t>
        </is>
      </c>
      <c r="D139" t="n">
        <v>2.69</v>
      </c>
      <c r="E139" t="inlineStr">
        <is>
          <t>100X20X12</t>
        </is>
      </c>
      <c r="F139" t="inlineStr">
        <is>
          <t>PLF 3070</t>
        </is>
      </c>
      <c r="G139" t="inlineStr">
        <is>
          <t>NW</t>
        </is>
      </c>
      <c r="H139" t="inlineStr">
        <is>
          <t>P2Y</t>
        </is>
      </c>
      <c r="I139" t="inlineStr">
        <is>
          <t>N/A</t>
        </is>
      </c>
      <c r="J139" t="inlineStr">
        <is>
          <t>N/A</t>
        </is>
      </c>
      <c r="K139" t="n">
        <v>6800</v>
      </c>
      <c r="L139" t="n">
        <v>7600</v>
      </c>
      <c r="M139" t="n">
        <v>8000</v>
      </c>
      <c r="N139" t="n">
        <v>8400</v>
      </c>
      <c r="O139" t="n">
        <v>8800</v>
      </c>
      <c r="P139" t="n">
        <v>9200</v>
      </c>
      <c r="Q139" t="n">
        <v>9400</v>
      </c>
      <c r="R139" t="n">
        <v>3.533157732151511</v>
      </c>
      <c r="S139" t="n">
        <v>3.521154043116088</v>
      </c>
      <c r="T139" t="n">
        <v>3.516052475276034</v>
      </c>
      <c r="U139" t="n">
        <v>3.511436771039794</v>
      </c>
      <c r="V139" t="n">
        <v>3.507240676279575</v>
      </c>
      <c r="W139" t="n">
        <v>3.503409459324593</v>
      </c>
      <c r="X139" t="n">
        <v>3.501616123728645</v>
      </c>
    </row>
    <row r="140">
      <c r="A140" t="inlineStr">
        <is>
          <t>100X20X12|PLF 3070|NW|P3Y|HOLES|BSU</t>
        </is>
      </c>
      <c r="B140" t="inlineStr">
        <is>
          <t>GB-1002012-M107-07</t>
        </is>
      </c>
      <c r="C140" t="inlineStr">
        <is>
          <t>GB 100x20x12 PLF 3070 NW BSU P3Y + HOLES (EC&lt;1.2)</t>
        </is>
      </c>
      <c r="D140" t="n">
        <v>2.69</v>
      </c>
      <c r="E140" t="inlineStr">
        <is>
          <t>100X20X12</t>
        </is>
      </c>
      <c r="F140" t="inlineStr">
        <is>
          <t>PLF 3070</t>
        </is>
      </c>
      <c r="G140" t="inlineStr">
        <is>
          <t>NW</t>
        </is>
      </c>
      <c r="H140" t="inlineStr">
        <is>
          <t>P3Y</t>
        </is>
      </c>
      <c r="I140" t="inlineStr">
        <is>
          <t>HOLES</t>
        </is>
      </c>
      <c r="J140" t="inlineStr">
        <is>
          <t>BSU</t>
        </is>
      </c>
      <c r="K140" t="n">
        <v>6800</v>
      </c>
      <c r="L140" t="n">
        <v>7600</v>
      </c>
      <c r="M140" t="n">
        <v>8000</v>
      </c>
      <c r="N140" t="n">
        <v>8400</v>
      </c>
      <c r="O140" t="n">
        <v>8800</v>
      </c>
      <c r="P140" t="n">
        <v>9200</v>
      </c>
      <c r="Q140" t="n">
        <v>9400</v>
      </c>
      <c r="R140" t="n">
        <v>3.643765508125537</v>
      </c>
      <c r="S140" t="n">
        <v>3.631761819090114</v>
      </c>
      <c r="T140" t="n">
        <v>3.62666025125006</v>
      </c>
      <c r="U140" t="n">
        <v>3.622044547013819</v>
      </c>
      <c r="V140" t="n">
        <v>3.617848452253601</v>
      </c>
      <c r="W140" t="n">
        <v>3.614017235298619</v>
      </c>
      <c r="X140" t="n">
        <v>3.61222389970267</v>
      </c>
    </row>
    <row r="141">
      <c r="A141" t="inlineStr">
        <is>
          <t>100X20X12|PLF 1090|NW|P2Y|HOLES|N/A</t>
        </is>
      </c>
      <c r="B141" t="inlineStr">
        <is>
          <t>GB-1002012-M109-01</t>
        </is>
      </c>
      <c r="C141" t="inlineStr">
        <is>
          <t>GB 100x20x12 PLF 1090 NW P2Y + HOLES</t>
        </is>
      </c>
      <c r="D141" t="n">
        <v>2.65</v>
      </c>
      <c r="E141" t="inlineStr">
        <is>
          <t>100X20X12</t>
        </is>
      </c>
      <c r="F141" t="inlineStr">
        <is>
          <t>PLF 1090</t>
        </is>
      </c>
      <c r="G141" t="inlineStr">
        <is>
          <t>NW</t>
        </is>
      </c>
      <c r="H141" t="inlineStr">
        <is>
          <t>P2Y</t>
        </is>
      </c>
      <c r="I141" t="inlineStr">
        <is>
          <t>HOLES</t>
        </is>
      </c>
      <c r="J141" t="inlineStr">
        <is>
          <t>N/A</t>
        </is>
      </c>
      <c r="K141" t="n">
        <v>6800</v>
      </c>
      <c r="L141" t="n">
        <v>7800</v>
      </c>
      <c r="M141" t="n">
        <v>8200</v>
      </c>
      <c r="N141" t="n">
        <v>8600</v>
      </c>
      <c r="O141" t="n">
        <v>8800</v>
      </c>
      <c r="P141" t="n">
        <v>9200</v>
      </c>
      <c r="Q141" t="n">
        <v>9600</v>
      </c>
      <c r="R141" t="n">
        <v>4.315549037754455</v>
      </c>
      <c r="S141" t="n">
        <v>4.300929160083107</v>
      </c>
      <c r="T141" t="n">
        <v>4.296079639684806</v>
      </c>
      <c r="U141" t="n">
        <v>4.291681237463091</v>
      </c>
      <c r="V141" t="n">
        <v>4.289631981882519</v>
      </c>
      <c r="W141" t="n">
        <v>4.285800764927537</v>
      </c>
      <c r="X141" t="n">
        <v>4.282288816052137</v>
      </c>
    </row>
    <row r="142">
      <c r="A142" t="inlineStr">
        <is>
          <t>100X20X12|PLF 1090|NW|P2Y|N/A|N/A</t>
        </is>
      </c>
      <c r="B142" t="inlineStr">
        <is>
          <t>GB-1002012-M109-02</t>
        </is>
      </c>
      <c r="C142" t="inlineStr">
        <is>
          <t>GB 100x20x12 PLF 1090 NW P2Y</t>
        </is>
      </c>
      <c r="D142" t="n">
        <v>2.65</v>
      </c>
      <c r="E142" t="inlineStr">
        <is>
          <t>100X20X12</t>
        </is>
      </c>
      <c r="F142" t="inlineStr">
        <is>
          <t>PLF 1090</t>
        </is>
      </c>
      <c r="G142" t="inlineStr">
        <is>
          <t>NW</t>
        </is>
      </c>
      <c r="H142" t="inlineStr">
        <is>
          <t>P2Y</t>
        </is>
      </c>
      <c r="I142" t="inlineStr">
        <is>
          <t>N/A</t>
        </is>
      </c>
      <c r="J142" t="inlineStr">
        <is>
          <t>N/A</t>
        </is>
      </c>
      <c r="K142" t="n">
        <v>6800</v>
      </c>
      <c r="L142" t="n">
        <v>7800</v>
      </c>
      <c r="M142" t="n">
        <v>8200</v>
      </c>
      <c r="N142" t="n">
        <v>8600</v>
      </c>
      <c r="O142" t="n">
        <v>8800</v>
      </c>
      <c r="P142" t="n">
        <v>9200</v>
      </c>
      <c r="Q142" t="n">
        <v>9600</v>
      </c>
      <c r="R142" t="n">
        <v>4.315549037754455</v>
      </c>
      <c r="S142" t="n">
        <v>4.300929160083107</v>
      </c>
      <c r="T142" t="n">
        <v>4.296079639684806</v>
      </c>
      <c r="U142" t="n">
        <v>4.291681237463091</v>
      </c>
      <c r="V142" t="n">
        <v>4.289631981882519</v>
      </c>
      <c r="W142" t="n">
        <v>4.285800764927537</v>
      </c>
      <c r="X142" t="n">
        <v>4.282288816052137</v>
      </c>
    </row>
    <row r="143">
      <c r="A143" t="inlineStr">
        <is>
          <t>100X20X13|PRO 5050|NW|P1Y|HOLES|BSU</t>
        </is>
      </c>
      <c r="B143" t="inlineStr">
        <is>
          <t>GB-1002013-M105-01</t>
        </is>
      </c>
      <c r="C143" t="inlineStr">
        <is>
          <t>GB 100x20x13 PRO 5050 NW BSU P1Y+HOLES</t>
        </is>
      </c>
      <c r="D143" t="n">
        <v>2.85</v>
      </c>
      <c r="E143" t="inlineStr">
        <is>
          <t>100X20X13</t>
        </is>
      </c>
      <c r="F143" t="inlineStr">
        <is>
          <t>PRO 5050</t>
        </is>
      </c>
      <c r="G143" t="inlineStr">
        <is>
          <t>NW</t>
        </is>
      </c>
      <c r="H143" t="inlineStr">
        <is>
          <t>P1Y</t>
        </is>
      </c>
      <c r="I143" t="inlineStr">
        <is>
          <t>HOLES</t>
        </is>
      </c>
      <c r="J143" t="inlineStr">
        <is>
          <t>BSU</t>
        </is>
      </c>
      <c r="K143" t="n">
        <v>6400</v>
      </c>
      <c r="L143" t="n">
        <v>7200</v>
      </c>
      <c r="M143" t="n">
        <v>7600</v>
      </c>
      <c r="N143" t="n">
        <v>8000</v>
      </c>
      <c r="O143" t="n">
        <v>8200</v>
      </c>
      <c r="P143" t="n">
        <v>8600</v>
      </c>
      <c r="Q143" t="n">
        <v>9000</v>
      </c>
      <c r="R143" t="n">
        <v>3.819832059087373</v>
      </c>
      <c r="S143" t="n">
        <v>3.806369588398339</v>
      </c>
      <c r="T143" t="n">
        <v>3.800701179687167</v>
      </c>
      <c r="U143" t="n">
        <v>3.795599611847113</v>
      </c>
      <c r="V143" t="n">
        <v>3.793235470652941</v>
      </c>
      <c r="W143" t="n">
        <v>3.788837068431226</v>
      </c>
      <c r="X143" t="n">
        <v>3.784829635295886</v>
      </c>
    </row>
    <row r="144">
      <c r="A144" t="inlineStr">
        <is>
          <t>100X20X13|PRO 5050|NW|P2Y|HOLES|N/A</t>
        </is>
      </c>
      <c r="B144" t="inlineStr">
        <is>
          <t>GB-1002013-M105-03</t>
        </is>
      </c>
      <c r="C144" t="inlineStr">
        <is>
          <t>GB 100x20x13 PRO 5050 NW P2Y + HOLES</t>
        </is>
      </c>
      <c r="D144" t="n">
        <v>2.85</v>
      </c>
      <c r="E144" t="inlineStr">
        <is>
          <t>100X20X13</t>
        </is>
      </c>
      <c r="F144" t="inlineStr">
        <is>
          <t>PRO 5050</t>
        </is>
      </c>
      <c r="G144" t="inlineStr">
        <is>
          <t>NW</t>
        </is>
      </c>
      <c r="H144" t="inlineStr">
        <is>
          <t>P2Y</t>
        </is>
      </c>
      <c r="I144" t="inlineStr">
        <is>
          <t>HOLES</t>
        </is>
      </c>
      <c r="J144" t="inlineStr">
        <is>
          <t>N/A</t>
        </is>
      </c>
      <c r="K144" t="n">
        <v>6400</v>
      </c>
      <c r="L144" t="n">
        <v>7200</v>
      </c>
      <c r="M144" t="n">
        <v>7600</v>
      </c>
      <c r="N144" t="n">
        <v>8000</v>
      </c>
      <c r="O144" t="n">
        <v>8200</v>
      </c>
      <c r="P144" t="n">
        <v>8600</v>
      </c>
      <c r="Q144" t="n">
        <v>9000</v>
      </c>
      <c r="R144" t="n">
        <v>3.86829124739906</v>
      </c>
      <c r="S144" t="n">
        <v>3.854828776710027</v>
      </c>
      <c r="T144" t="n">
        <v>3.849160367998855</v>
      </c>
      <c r="U144" t="n">
        <v>3.844058800158801</v>
      </c>
      <c r="V144" t="n">
        <v>3.841694658964629</v>
      </c>
      <c r="W144" t="n">
        <v>3.837296256742914</v>
      </c>
      <c r="X144" t="n">
        <v>3.833288823607574</v>
      </c>
    </row>
    <row r="145">
      <c r="A145" t="inlineStr">
        <is>
          <t>100X20X14|PLF 3070|NW|P2Y|HOLES|BSU</t>
        </is>
      </c>
      <c r="B145" t="inlineStr">
        <is>
          <t>GB-1002014-M107-01</t>
        </is>
      </c>
      <c r="C145" t="inlineStr">
        <is>
          <t>GB 100x20x14 PLF 3070 NW BSU P2Y+HOLES</t>
        </is>
      </c>
      <c r="D145" t="n">
        <v>3.1</v>
      </c>
      <c r="E145" t="inlineStr">
        <is>
          <t>100X20X14</t>
        </is>
      </c>
      <c r="F145" t="inlineStr">
        <is>
          <t>PLF 3070</t>
        </is>
      </c>
      <c r="G145" t="inlineStr">
        <is>
          <t>NW</t>
        </is>
      </c>
      <c r="H145" t="inlineStr">
        <is>
          <t>P2Y</t>
        </is>
      </c>
      <c r="I145" t="inlineStr">
        <is>
          <t>HOLES</t>
        </is>
      </c>
      <c r="J145" t="inlineStr">
        <is>
          <t>BSU</t>
        </is>
      </c>
      <c r="K145" t="n">
        <v>5800</v>
      </c>
      <c r="L145" t="n">
        <v>6600</v>
      </c>
      <c r="M145" t="n">
        <v>7000</v>
      </c>
      <c r="N145" t="n">
        <v>7200</v>
      </c>
      <c r="O145" t="n">
        <v>7600</v>
      </c>
      <c r="P145" t="n">
        <v>8000</v>
      </c>
      <c r="Q145" t="n">
        <v>8200</v>
      </c>
      <c r="R145" t="n">
        <v>3.995244805284341</v>
      </c>
      <c r="S145" t="n">
        <v>3.979039197934534</v>
      </c>
      <c r="T145" t="n">
        <v>3.972325446318186</v>
      </c>
      <c r="U145" t="n">
        <v>3.969248310160692</v>
      </c>
      <c r="V145" t="n">
        <v>3.96357990144952</v>
      </c>
      <c r="W145" t="n">
        <v>3.958478333609466</v>
      </c>
      <c r="X145" t="n">
        <v>3.956114192415293</v>
      </c>
    </row>
    <row r="146">
      <c r="A146" t="inlineStr">
        <is>
          <t>100X20X15|PRO 8020|NW|P1Y|HOLES|N/A</t>
        </is>
      </c>
      <c r="B146" t="inlineStr">
        <is>
          <t>GB-1002015-M102-01</t>
        </is>
      </c>
      <c r="C146" t="inlineStr">
        <is>
          <t>GB 100x20x15 PRO 8020 NW P1Y +HOLES</t>
        </is>
      </c>
      <c r="D146" t="n">
        <v>3.4</v>
      </c>
      <c r="E146" t="inlineStr">
        <is>
          <t>100X20X15</t>
        </is>
      </c>
      <c r="F146" t="inlineStr">
        <is>
          <t>PRO 8020</t>
        </is>
      </c>
      <c r="G146" t="inlineStr">
        <is>
          <t>NW</t>
        </is>
      </c>
      <c r="H146" t="inlineStr">
        <is>
          <t>P1Y</t>
        </is>
      </c>
      <c r="I146" t="inlineStr">
        <is>
          <t>HOLES</t>
        </is>
      </c>
      <c r="J146" t="inlineStr">
        <is>
          <t>N/A</t>
        </is>
      </c>
      <c r="K146" t="n">
        <v>5200</v>
      </c>
      <c r="L146" t="n">
        <v>6000</v>
      </c>
      <c r="M146" t="n">
        <v>6400</v>
      </c>
      <c r="N146" t="n">
        <v>6600</v>
      </c>
      <c r="O146" t="n">
        <v>7000</v>
      </c>
      <c r="P146" t="n">
        <v>7200</v>
      </c>
      <c r="Q146" t="n">
        <v>7400</v>
      </c>
      <c r="R146" t="n">
        <v>3.786639028211528</v>
      </c>
      <c r="S146" t="n">
        <v>3.766755994578495</v>
      </c>
      <c r="T146" t="n">
        <v>3.758678512165075</v>
      </c>
      <c r="U146" t="n">
        <v>3.755006929249883</v>
      </c>
      <c r="V146" t="n">
        <v>3.748293177633535</v>
      </c>
      <c r="W146" t="n">
        <v>3.745216041476041</v>
      </c>
      <c r="X146" t="n">
        <v>3.742305237002737</v>
      </c>
    </row>
    <row r="147">
      <c r="A147" t="inlineStr">
        <is>
          <t>100X20X15|PLF 3070|NW|P3Y|HOLES|N/A</t>
        </is>
      </c>
      <c r="B147" t="inlineStr">
        <is>
          <t>GB-1002015-M107-03</t>
        </is>
      </c>
      <c r="C147" t="inlineStr">
        <is>
          <t>GB 100x20x15 PLF 3070 NW P3Y  + HOLES</t>
        </is>
      </c>
      <c r="D147" t="n">
        <v>3.4</v>
      </c>
      <c r="E147" t="inlineStr">
        <is>
          <t>100X20X15</t>
        </is>
      </c>
      <c r="F147" t="inlineStr">
        <is>
          <t>PLF 3070</t>
        </is>
      </c>
      <c r="G147" t="inlineStr">
        <is>
          <t>NW</t>
        </is>
      </c>
      <c r="H147" t="inlineStr">
        <is>
          <t>P3Y</t>
        </is>
      </c>
      <c r="I147" t="inlineStr">
        <is>
          <t>HOLES</t>
        </is>
      </c>
      <c r="J147" t="inlineStr">
        <is>
          <t>N/A</t>
        </is>
      </c>
      <c r="K147" t="n">
        <v>5200</v>
      </c>
      <c r="L147" t="n">
        <v>6000</v>
      </c>
      <c r="M147" t="n">
        <v>6400</v>
      </c>
      <c r="N147" t="n">
        <v>6600</v>
      </c>
      <c r="O147" t="n">
        <v>7000</v>
      </c>
      <c r="P147" t="n">
        <v>7200</v>
      </c>
      <c r="Q147" t="n">
        <v>7400</v>
      </c>
      <c r="R147" t="n">
        <v>4.501597782178632</v>
      </c>
      <c r="S147" t="n">
        <v>4.481714748545598</v>
      </c>
      <c r="T147" t="n">
        <v>4.473637266132178</v>
      </c>
      <c r="U147" t="n">
        <v>4.469965683216987</v>
      </c>
      <c r="V147" t="n">
        <v>4.463251931600639</v>
      </c>
      <c r="W147" t="n">
        <v>4.460174795443145</v>
      </c>
      <c r="X147" t="n">
        <v>4.457263990969841</v>
      </c>
    </row>
    <row r="148">
      <c r="A148" t="inlineStr">
        <is>
          <t>100X20X15|PLF 3070|NW|P2Y|HOLES|N/A</t>
        </is>
      </c>
      <c r="B148" t="inlineStr">
        <is>
          <t>GB-1002015-M107-04</t>
        </is>
      </c>
      <c r="C148" t="inlineStr">
        <is>
          <t>GB 100x20x15 PLF 3070 NW P2Y + HOLES</t>
        </is>
      </c>
      <c r="D148" t="n">
        <v>3.4</v>
      </c>
      <c r="E148" t="inlineStr">
        <is>
          <t>100X20X15</t>
        </is>
      </c>
      <c r="F148" t="inlineStr">
        <is>
          <t>PLF 3070</t>
        </is>
      </c>
      <c r="G148" t="inlineStr">
        <is>
          <t>NW</t>
        </is>
      </c>
      <c r="H148" t="inlineStr">
        <is>
          <t>P2Y</t>
        </is>
      </c>
      <c r="I148" t="inlineStr">
        <is>
          <t>HOLES</t>
        </is>
      </c>
      <c r="J148" t="inlineStr">
        <is>
          <t>N/A</t>
        </is>
      </c>
      <c r="K148" t="n">
        <v>5200</v>
      </c>
      <c r="L148" t="n">
        <v>6000</v>
      </c>
      <c r="M148" t="n">
        <v>6400</v>
      </c>
      <c r="N148" t="n">
        <v>6600</v>
      </c>
      <c r="O148" t="n">
        <v>7000</v>
      </c>
      <c r="P148" t="n">
        <v>7200</v>
      </c>
      <c r="Q148" t="n">
        <v>7400</v>
      </c>
      <c r="R148" t="n">
        <v>4.397224145814995</v>
      </c>
      <c r="S148" t="n">
        <v>4.377341112181961</v>
      </c>
      <c r="T148" t="n">
        <v>4.369263629768542</v>
      </c>
      <c r="U148" t="n">
        <v>4.365592046853351</v>
      </c>
      <c r="V148" t="n">
        <v>4.358878295237002</v>
      </c>
      <c r="W148" t="n">
        <v>4.355801159079508</v>
      </c>
      <c r="X148" t="n">
        <v>4.352890354606204</v>
      </c>
    </row>
    <row r="149">
      <c r="A149" t="inlineStr">
        <is>
          <t>100X20X15|PLF 2080|NW|P2Y|HOLES|N/A</t>
        </is>
      </c>
      <c r="B149" t="inlineStr">
        <is>
          <t>GB-1002015-M108-03</t>
        </is>
      </c>
      <c r="C149" t="inlineStr">
        <is>
          <t>GB 100x20x15 PLF 2080 NW P2Y + HOLES</t>
        </is>
      </c>
      <c r="D149" t="n">
        <v>3.46</v>
      </c>
      <c r="E149" t="inlineStr">
        <is>
          <t>100X20X15</t>
        </is>
      </c>
      <c r="F149" t="inlineStr">
        <is>
          <t>PLF 2080</t>
        </is>
      </c>
      <c r="G149" t="inlineStr">
        <is>
          <t>NW</t>
        </is>
      </c>
      <c r="H149" t="inlineStr">
        <is>
          <t>P2Y</t>
        </is>
      </c>
      <c r="I149" t="inlineStr">
        <is>
          <t>HOLES</t>
        </is>
      </c>
      <c r="J149" t="inlineStr">
        <is>
          <t>N/A</t>
        </is>
      </c>
      <c r="K149" t="n">
        <v>5200</v>
      </c>
      <c r="L149" t="n">
        <v>6000</v>
      </c>
      <c r="M149" t="n">
        <v>6200</v>
      </c>
      <c r="N149" t="n">
        <v>6400</v>
      </c>
      <c r="O149" t="n">
        <v>6800</v>
      </c>
      <c r="P149" t="n">
        <v>7000</v>
      </c>
      <c r="Q149" t="n">
        <v>7400</v>
      </c>
      <c r="R149" t="n">
        <v>5.171159470349788</v>
      </c>
      <c r="S149" t="n">
        <v>5.151276436716754</v>
      </c>
      <c r="T149" t="n">
        <v>5.147107413535634</v>
      </c>
      <c r="U149" t="n">
        <v>5.143198954303334</v>
      </c>
      <c r="V149" t="n">
        <v>5.136071763938552</v>
      </c>
      <c r="W149" t="n">
        <v>5.132813619771794</v>
      </c>
      <c r="X149" t="n">
        <v>5.126825679140997</v>
      </c>
    </row>
    <row r="150">
      <c r="A150" t="inlineStr">
        <is>
          <t>100X20X15|PLF 1090|NW|P2Y|HOLES|N/A</t>
        </is>
      </c>
      <c r="B150" t="inlineStr">
        <is>
          <t>GB-1002015-M109-01</t>
        </is>
      </c>
      <c r="C150" t="inlineStr">
        <is>
          <t>GB 100x20x15 PLF 1090 NW P2Y+HOLES</t>
        </is>
      </c>
      <c r="D150" t="n">
        <v>3.46</v>
      </c>
      <c r="E150" t="inlineStr">
        <is>
          <t>100X20X15</t>
        </is>
      </c>
      <c r="F150" t="inlineStr">
        <is>
          <t>PLF 1090</t>
        </is>
      </c>
      <c r="G150" t="inlineStr">
        <is>
          <t>NW</t>
        </is>
      </c>
      <c r="H150" t="inlineStr">
        <is>
          <t>P2Y</t>
        </is>
      </c>
      <c r="I150" t="inlineStr">
        <is>
          <t>HOLES</t>
        </is>
      </c>
      <c r="J150" t="inlineStr">
        <is>
          <t>N/A</t>
        </is>
      </c>
      <c r="K150" t="n">
        <v>5200</v>
      </c>
      <c r="L150" t="n">
        <v>6000</v>
      </c>
      <c r="M150" t="n">
        <v>6200</v>
      </c>
      <c r="N150" t="n">
        <v>6400</v>
      </c>
      <c r="O150" t="n">
        <v>6800</v>
      </c>
      <c r="P150" t="n">
        <v>7000</v>
      </c>
      <c r="Q150" t="n">
        <v>7400</v>
      </c>
      <c r="R150" t="n">
        <v>5.457266562260029</v>
      </c>
      <c r="S150" t="n">
        <v>5.437383528626996</v>
      </c>
      <c r="T150" t="n">
        <v>5.433214505445876</v>
      </c>
      <c r="U150" t="n">
        <v>5.429306046213576</v>
      </c>
      <c r="V150" t="n">
        <v>5.422178855848793</v>
      </c>
      <c r="W150" t="n">
        <v>5.418920711682036</v>
      </c>
      <c r="X150" t="n">
        <v>5.412932771051238</v>
      </c>
    </row>
    <row r="151">
      <c r="A151" t="inlineStr">
        <is>
          <t>100X20X15|PLF 1090|NW|P2Y|N/A|N/A</t>
        </is>
      </c>
      <c r="B151" t="inlineStr">
        <is>
          <t>GB-1002015-M109-02</t>
        </is>
      </c>
      <c r="C151" t="inlineStr">
        <is>
          <t>GB 100x20x15 PLF 1090 NW P2Y</t>
        </is>
      </c>
      <c r="D151" t="n">
        <v>3.46</v>
      </c>
      <c r="E151" t="inlineStr">
        <is>
          <t>100X20X15</t>
        </is>
      </c>
      <c r="F151" t="inlineStr">
        <is>
          <t>PLF 1090</t>
        </is>
      </c>
      <c r="G151" t="inlineStr">
        <is>
          <t>NW</t>
        </is>
      </c>
      <c r="H151" t="inlineStr">
        <is>
          <t>P2Y</t>
        </is>
      </c>
      <c r="I151" t="inlineStr">
        <is>
          <t>N/A</t>
        </is>
      </c>
      <c r="J151" t="inlineStr">
        <is>
          <t>N/A</t>
        </is>
      </c>
      <c r="K151" t="n">
        <v>5200</v>
      </c>
      <c r="L151" t="n">
        <v>6000</v>
      </c>
      <c r="M151" t="n">
        <v>6200</v>
      </c>
      <c r="N151" t="n">
        <v>6400</v>
      </c>
      <c r="O151" t="n">
        <v>6800</v>
      </c>
      <c r="P151" t="n">
        <v>7000</v>
      </c>
      <c r="Q151" t="n">
        <v>7400</v>
      </c>
      <c r="R151" t="n">
        <v>5.457266562260029</v>
      </c>
      <c r="S151" t="n">
        <v>5.437383528626996</v>
      </c>
      <c r="T151" t="n">
        <v>5.433214505445876</v>
      </c>
      <c r="U151" t="n">
        <v>5.429306046213576</v>
      </c>
      <c r="V151" t="n">
        <v>5.422178855848793</v>
      </c>
      <c r="W151" t="n">
        <v>5.418920711682036</v>
      </c>
      <c r="X151" t="n">
        <v>5.412932771051238</v>
      </c>
    </row>
    <row r="152">
      <c r="A152" t="inlineStr">
        <is>
          <t>100X20X16|PRO 7030|NW|P3Y|N/A|N/A</t>
        </is>
      </c>
      <c r="B152" t="inlineStr">
        <is>
          <t>GB-1002016-M103-01</t>
        </is>
      </c>
      <c r="C152" t="inlineStr">
        <is>
          <t>GB 100x20x16 PRO 7030 NW P3Y</t>
        </is>
      </c>
      <c r="D152" t="n">
        <v>3.7</v>
      </c>
      <c r="E152" t="inlineStr">
        <is>
          <t>100X20X16</t>
        </is>
      </c>
      <c r="F152" t="inlineStr">
        <is>
          <t>PRO 7030</t>
        </is>
      </c>
      <c r="G152" t="inlineStr">
        <is>
          <t>NW</t>
        </is>
      </c>
      <c r="H152" t="inlineStr">
        <is>
          <t>P3Y</t>
        </is>
      </c>
      <c r="I152" t="inlineStr">
        <is>
          <t>N/A</t>
        </is>
      </c>
      <c r="J152" t="inlineStr">
        <is>
          <t>N/A</t>
        </is>
      </c>
      <c r="K152" t="n">
        <v>4800</v>
      </c>
      <c r="L152" t="n">
        <v>5600</v>
      </c>
      <c r="M152" t="n">
        <v>5800</v>
      </c>
      <c r="N152" t="n">
        <v>6000</v>
      </c>
      <c r="O152" t="n">
        <v>6400</v>
      </c>
      <c r="P152" t="n">
        <v>6600</v>
      </c>
      <c r="Q152" t="n">
        <v>6800</v>
      </c>
      <c r="R152" t="n">
        <v>4.513168103798129</v>
      </c>
      <c r="S152" t="n">
        <v>4.490089582616929</v>
      </c>
      <c r="T152" t="n">
        <v>4.485314716165647</v>
      </c>
      <c r="U152" t="n">
        <v>4.48085817414445</v>
      </c>
      <c r="V152" t="n">
        <v>4.47278069173103</v>
      </c>
      <c r="W152" t="n">
        <v>4.469109108815839</v>
      </c>
      <c r="X152" t="n">
        <v>4.465653501366248</v>
      </c>
    </row>
    <row r="153">
      <c r="A153" t="inlineStr">
        <is>
          <t>100X30X12|12MM|NW|P1Y|N/A|N/A</t>
        </is>
      </c>
      <c r="B153" t="inlineStr">
        <is>
          <t>GB-1003012-M002-01</t>
        </is>
      </c>
      <c r="C153" t="inlineStr">
        <is>
          <t>GB 100x30x12 12mm NW P1Y</t>
        </is>
      </c>
      <c r="D153" t="n">
        <v>3.95</v>
      </c>
      <c r="E153" t="inlineStr">
        <is>
          <t>100X30X12</t>
        </is>
      </c>
      <c r="F153" t="inlineStr">
        <is>
          <t>12MM</t>
        </is>
      </c>
      <c r="G153" t="inlineStr">
        <is>
          <t>NW</t>
        </is>
      </c>
      <c r="H153" t="inlineStr">
        <is>
          <t>P1Y</t>
        </is>
      </c>
      <c r="I153" t="inlineStr">
        <is>
          <t>N/A</t>
        </is>
      </c>
      <c r="J153" t="inlineStr">
        <is>
          <t>N/A</t>
        </is>
      </c>
      <c r="K153" t="n">
        <v>4600</v>
      </c>
      <c r="L153" t="n">
        <v>5200</v>
      </c>
      <c r="M153" t="n">
        <v>5400</v>
      </c>
      <c r="N153" t="n">
        <v>5600</v>
      </c>
      <c r="O153" t="n">
        <v>6000</v>
      </c>
      <c r="P153" t="n">
        <v>6200</v>
      </c>
      <c r="Q153" t="n">
        <v>6400</v>
      </c>
      <c r="R153" t="n">
        <v>6.348621988961159</v>
      </c>
      <c r="S153" t="n">
        <v>6.329171195189714</v>
      </c>
      <c r="T153" t="n">
        <v>6.323648130291648</v>
      </c>
      <c r="U153" t="n">
        <v>6.318519570029159</v>
      </c>
      <c r="V153" t="n">
        <v>6.30928816155668</v>
      </c>
      <c r="W153" t="n">
        <v>6.305119138375559</v>
      </c>
      <c r="X153" t="n">
        <v>6.301210679143259</v>
      </c>
    </row>
    <row r="154">
      <c r="A154" t="inlineStr">
        <is>
          <t>100X30X12|12MM|NW||N/A|N/A</t>
        </is>
      </c>
      <c r="B154" t="inlineStr">
        <is>
          <t>GB-1003012-M002-02</t>
        </is>
      </c>
      <c r="C154" t="inlineStr">
        <is>
          <t>GB 100x30x12 12mm NW</t>
        </is>
      </c>
      <c r="D154" t="n">
        <v>3.95</v>
      </c>
      <c r="E154" t="inlineStr">
        <is>
          <t>100X30X12</t>
        </is>
      </c>
      <c r="F154" t="inlineStr">
        <is>
          <t>12MM</t>
        </is>
      </c>
      <c r="G154" t="inlineStr">
        <is>
          <t>NW</t>
        </is>
      </c>
      <c r="H154" t="inlineStr"/>
      <c r="I154" t="inlineStr">
        <is>
          <t>N/A</t>
        </is>
      </c>
      <c r="J154" t="inlineStr">
        <is>
          <t>N/A</t>
        </is>
      </c>
      <c r="K154" t="n">
        <v>4600</v>
      </c>
      <c r="L154" t="n">
        <v>5200</v>
      </c>
      <c r="M154" t="n">
        <v>5400</v>
      </c>
      <c r="N154" t="n">
        <v>5600</v>
      </c>
      <c r="O154" t="n">
        <v>6000</v>
      </c>
      <c r="P154" t="n">
        <v>6200</v>
      </c>
      <c r="Q154" t="n">
        <v>6400</v>
      </c>
      <c r="R154" t="n">
        <v>6.348621988961159</v>
      </c>
      <c r="S154" t="n">
        <v>6.329171195189714</v>
      </c>
      <c r="T154" t="n">
        <v>6.323648130291648</v>
      </c>
      <c r="U154" t="n">
        <v>6.318519570029159</v>
      </c>
      <c r="V154" t="n">
        <v>6.30928816155668</v>
      </c>
      <c r="W154" t="n">
        <v>6.305119138375559</v>
      </c>
      <c r="X154" t="n">
        <v>6.301210679143259</v>
      </c>
    </row>
    <row r="155">
      <c r="A155" t="inlineStr">
        <is>
          <t>100X30X12|12MM|NW||N/A|N/A</t>
        </is>
      </c>
      <c r="B155" t="inlineStr">
        <is>
          <t>GB-1003012-M002-03</t>
        </is>
      </c>
      <c r="C155" t="inlineStr">
        <is>
          <t>GB 100x30x12 12mm NW</t>
        </is>
      </c>
      <c r="D155" t="n">
        <v>3.95</v>
      </c>
      <c r="E155" t="inlineStr">
        <is>
          <t>100X30X12</t>
        </is>
      </c>
      <c r="F155" t="inlineStr">
        <is>
          <t>12MM</t>
        </is>
      </c>
      <c r="G155" t="inlineStr">
        <is>
          <t>NW</t>
        </is>
      </c>
      <c r="H155" t="inlineStr"/>
      <c r="I155" t="inlineStr">
        <is>
          <t>N/A</t>
        </is>
      </c>
      <c r="J155" t="inlineStr">
        <is>
          <t>N/A</t>
        </is>
      </c>
      <c r="K155" t="n">
        <v>4600</v>
      </c>
      <c r="L155" t="n">
        <v>5200</v>
      </c>
      <c r="M155" t="n">
        <v>5400</v>
      </c>
      <c r="N155" t="n">
        <v>5600</v>
      </c>
      <c r="O155" t="n">
        <v>6000</v>
      </c>
      <c r="P155" t="n">
        <v>6200</v>
      </c>
      <c r="Q155" t="n">
        <v>6400</v>
      </c>
      <c r="R155" t="n">
        <v>6.348621988961159</v>
      </c>
      <c r="S155" t="n">
        <v>6.329171195189714</v>
      </c>
      <c r="T155" t="n">
        <v>6.323648130291648</v>
      </c>
      <c r="U155" t="n">
        <v>6.318519570029159</v>
      </c>
      <c r="V155" t="n">
        <v>6.30928816155668</v>
      </c>
      <c r="W155" t="n">
        <v>6.305119138375559</v>
      </c>
      <c r="X155" t="n">
        <v>6.301210679143259</v>
      </c>
    </row>
    <row r="156">
      <c r="A156" t="inlineStr">
        <is>
          <t>100X30X14|PRO 5050|NW|P3Y|HOLES|N/A</t>
        </is>
      </c>
      <c r="B156" t="inlineStr">
        <is>
          <t>GB-1003014-M105-01</t>
        </is>
      </c>
      <c r="C156" t="inlineStr">
        <is>
          <t>GB 100x30x14 PRO 5050 NW P3Y+HOLES</t>
        </is>
      </c>
      <c r="D156" t="n">
        <v>4.81</v>
      </c>
      <c r="E156" t="inlineStr">
        <is>
          <t>100X30X14</t>
        </is>
      </c>
      <c r="F156" t="inlineStr">
        <is>
          <t>PRO 5050</t>
        </is>
      </c>
      <c r="G156" t="inlineStr">
        <is>
          <t>NW</t>
        </is>
      </c>
      <c r="H156" t="inlineStr">
        <is>
          <t>P3Y</t>
        </is>
      </c>
      <c r="I156" t="inlineStr">
        <is>
          <t>HOLES</t>
        </is>
      </c>
      <c r="J156" t="inlineStr">
        <is>
          <t>N/A</t>
        </is>
      </c>
      <c r="K156" t="n">
        <v>3800</v>
      </c>
      <c r="L156" t="n">
        <v>4200</v>
      </c>
      <c r="M156" t="n">
        <v>4400</v>
      </c>
      <c r="N156" t="n">
        <v>4600</v>
      </c>
      <c r="O156" t="n">
        <v>4800</v>
      </c>
      <c r="P156" t="n">
        <v>5000</v>
      </c>
      <c r="Q156" t="n">
        <v>5200</v>
      </c>
      <c r="R156" t="n">
        <v>6.567865090885171</v>
      </c>
      <c r="S156" t="n">
        <v>6.548430546732583</v>
      </c>
      <c r="T156" t="n">
        <v>6.540038357212147</v>
      </c>
      <c r="U156" t="n">
        <v>6.532375923302183</v>
      </c>
      <c r="V156" t="n">
        <v>6.525352025551384</v>
      </c>
      <c r="W156" t="n">
        <v>6.518890039620647</v>
      </c>
      <c r="X156" t="n">
        <v>6.512925129530736</v>
      </c>
    </row>
    <row r="157">
      <c r="A157" t="inlineStr">
        <is>
          <t>20X20X15|PRO 5050|NW|P2Y|HOLES|N/A</t>
        </is>
      </c>
      <c r="B157" t="inlineStr">
        <is>
          <t>GB-202015-M105-01</t>
        </is>
      </c>
      <c r="C157" t="inlineStr">
        <is>
          <t>GB 20x20x15 PRO 5050 NW P2Y+HOLES</t>
        </is>
      </c>
      <c r="D157" t="n">
        <v>0.7</v>
      </c>
      <c r="E157" t="inlineStr">
        <is>
          <t>20X20X15</t>
        </is>
      </c>
      <c r="F157" t="inlineStr">
        <is>
          <t>PRO 5050</t>
        </is>
      </c>
      <c r="G157" t="inlineStr">
        <is>
          <t>NW</t>
        </is>
      </c>
      <c r="H157" t="inlineStr">
        <is>
          <t>P2Y</t>
        </is>
      </c>
      <c r="I157" t="inlineStr">
        <is>
          <t>HOLES</t>
        </is>
      </c>
      <c r="J157" t="inlineStr">
        <is>
          <t>N/A</t>
        </is>
      </c>
      <c r="K157" t="n">
        <v>26000</v>
      </c>
      <c r="L157" t="n">
        <v>29600</v>
      </c>
      <c r="M157" t="n">
        <v>31000</v>
      </c>
      <c r="N157" t="n">
        <v>32400</v>
      </c>
      <c r="O157" t="n">
        <v>34000</v>
      </c>
      <c r="P157" t="n">
        <v>35400</v>
      </c>
      <c r="Q157" t="n">
        <v>36800</v>
      </c>
      <c r="R157" t="n">
        <v>0.9609504777232406</v>
      </c>
      <c r="S157" t="n">
        <v>0.9573231675334305</v>
      </c>
      <c r="T157" t="n">
        <v>0.9561400663604099</v>
      </c>
      <c r="U157" t="n">
        <v>0.955059208498638</v>
      </c>
      <c r="V157" t="n">
        <v>0.9539329364409934</v>
      </c>
      <c r="W157" t="n">
        <v>0.9530309643270324</v>
      </c>
      <c r="X157" t="n">
        <v>0.95219762052609</v>
      </c>
    </row>
    <row r="158">
      <c r="A158" t="inlineStr">
        <is>
          <t>25X20X18|PRO 8020|NW|P1Y|HOLES|N/A</t>
        </is>
      </c>
      <c r="B158" t="inlineStr">
        <is>
          <t>GB-252018-M102-01</t>
        </is>
      </c>
      <c r="C158" t="inlineStr">
        <is>
          <t>GB 25x20x18 PRO 8020 NW P1Y+HOLES</t>
        </is>
      </c>
      <c r="D158" t="n">
        <v>1.1</v>
      </c>
      <c r="E158" t="inlineStr">
        <is>
          <t>25X20X18</t>
        </is>
      </c>
      <c r="F158" t="inlineStr">
        <is>
          <t>PRO 8020</t>
        </is>
      </c>
      <c r="G158" t="inlineStr">
        <is>
          <t>NW</t>
        </is>
      </c>
      <c r="H158" t="inlineStr">
        <is>
          <t>P1Y</t>
        </is>
      </c>
      <c r="I158" t="inlineStr">
        <is>
          <t>HOLES</t>
        </is>
      </c>
      <c r="J158" t="inlineStr">
        <is>
          <t>N/A</t>
        </is>
      </c>
      <c r="K158" t="n">
        <v>16600</v>
      </c>
      <c r="L158" t="n">
        <v>18800</v>
      </c>
      <c r="M158" t="n">
        <v>19800</v>
      </c>
      <c r="N158" t="n">
        <v>20600</v>
      </c>
      <c r="O158" t="n">
        <v>21600</v>
      </c>
      <c r="P158" t="n">
        <v>22400</v>
      </c>
      <c r="Q158" t="n">
        <v>23400</v>
      </c>
      <c r="R158" t="n">
        <v>1.207285065961548</v>
      </c>
      <c r="S158" t="n">
        <v>1.201818633361848</v>
      </c>
      <c r="T158" t="n">
        <v>1.199735465750392</v>
      </c>
      <c r="U158" t="n">
        <v>1.198214551144747</v>
      </c>
      <c r="V158" t="n">
        <v>1.196471836492445</v>
      </c>
      <c r="W158" t="n">
        <v>1.195189696426823</v>
      </c>
      <c r="X158" t="n">
        <v>1.193710304043412</v>
      </c>
    </row>
    <row r="159">
      <c r="A159" t="inlineStr">
        <is>
          <t>25X20X18|PRO 7030|NW|P1Y|HOLES|N/A</t>
        </is>
      </c>
      <c r="B159" t="inlineStr">
        <is>
          <t>GB-252018-M103-01</t>
        </is>
      </c>
      <c r="C159" t="inlineStr">
        <is>
          <t>GB 25X20X18 PRO 7030 NW P1Y + HOLES</t>
        </is>
      </c>
      <c r="D159" t="n">
        <v>1.1</v>
      </c>
      <c r="E159" t="inlineStr">
        <is>
          <t>25X20X18</t>
        </is>
      </c>
      <c r="F159" t="inlineStr">
        <is>
          <t>PRO 7030</t>
        </is>
      </c>
      <c r="G159" t="inlineStr">
        <is>
          <t>NW</t>
        </is>
      </c>
      <c r="H159" t="inlineStr">
        <is>
          <t>P1Y</t>
        </is>
      </c>
      <c r="I159" t="inlineStr">
        <is>
          <t>HOLES</t>
        </is>
      </c>
      <c r="J159" t="inlineStr">
        <is>
          <t>N/A</t>
        </is>
      </c>
      <c r="K159" t="n">
        <v>16600</v>
      </c>
      <c r="L159" t="n">
        <v>18800</v>
      </c>
      <c r="M159" t="n">
        <v>19800</v>
      </c>
      <c r="N159" t="n">
        <v>20600</v>
      </c>
      <c r="O159" t="n">
        <v>21600</v>
      </c>
      <c r="P159" t="n">
        <v>22400</v>
      </c>
      <c r="Q159" t="n">
        <v>23400</v>
      </c>
      <c r="R159" t="n">
        <v>1.277053296221091</v>
      </c>
      <c r="S159" t="n">
        <v>1.271586863621391</v>
      </c>
      <c r="T159" t="n">
        <v>1.269503696009936</v>
      </c>
      <c r="U159" t="n">
        <v>1.26798278140429</v>
      </c>
      <c r="V159" t="n">
        <v>1.266240066751988</v>
      </c>
      <c r="W159" t="n">
        <v>1.264957926686366</v>
      </c>
      <c r="X159" t="n">
        <v>1.263478534302956</v>
      </c>
    </row>
    <row r="160">
      <c r="A160" t="inlineStr">
        <is>
          <t>40X20X15|PRO 7030|NW|P1Y|HOLES|N/A</t>
        </is>
      </c>
      <c r="B160" t="inlineStr">
        <is>
          <t>GB-402015-M103-01</t>
        </is>
      </c>
      <c r="C160" t="inlineStr">
        <is>
          <t>GB 40x20x15 PRO 7030 NW P1Y + HOLES</t>
        </is>
      </c>
      <c r="D160" t="n">
        <v>1.4</v>
      </c>
      <c r="E160" t="inlineStr">
        <is>
          <t>40X20X15</t>
        </is>
      </c>
      <c r="F160" t="inlineStr">
        <is>
          <t>PRO 7030</t>
        </is>
      </c>
      <c r="G160" t="inlineStr">
        <is>
          <t>NW</t>
        </is>
      </c>
      <c r="H160" t="inlineStr">
        <is>
          <t>P1Y</t>
        </is>
      </c>
      <c r="I160" t="inlineStr">
        <is>
          <t>HOLES</t>
        </is>
      </c>
      <c r="J160" t="inlineStr">
        <is>
          <t>N/A</t>
        </is>
      </c>
      <c r="K160" t="n">
        <v>13000</v>
      </c>
      <c r="L160" t="n">
        <v>14800</v>
      </c>
      <c r="M160" t="n">
        <v>15400</v>
      </c>
      <c r="N160" t="n">
        <v>16200</v>
      </c>
      <c r="O160" t="n">
        <v>17000</v>
      </c>
      <c r="P160" t="n">
        <v>17600</v>
      </c>
      <c r="Q160" t="n">
        <v>18400</v>
      </c>
      <c r="R160" t="n">
        <v>1.744184268742003</v>
      </c>
      <c r="S160" t="n">
        <v>1.736929648362383</v>
      </c>
      <c r="T160" t="n">
        <v>1.73488830496552</v>
      </c>
      <c r="U160" t="n">
        <v>1.732401730292798</v>
      </c>
      <c r="V160" t="n">
        <v>1.730149186177509</v>
      </c>
      <c r="W160" t="n">
        <v>1.728594162825193</v>
      </c>
      <c r="X160" t="n">
        <v>1.726678554347702</v>
      </c>
    </row>
    <row r="161">
      <c r="A161" t="inlineStr">
        <is>
          <t>40X20X15|PRO 5050|NW|P2Y|HOLES|N/A</t>
        </is>
      </c>
      <c r="B161" t="inlineStr">
        <is>
          <t>GB-402015-M105-01</t>
        </is>
      </c>
      <c r="C161" t="inlineStr">
        <is>
          <t>GB 40x20x15 PRO 5050 NW P2Y+HOLES</t>
        </is>
      </c>
      <c r="D161" t="n">
        <v>1.35</v>
      </c>
      <c r="E161" t="inlineStr">
        <is>
          <t>40X20X15</t>
        </is>
      </c>
      <c r="F161" t="inlineStr">
        <is>
          <t>PRO 5050</t>
        </is>
      </c>
      <c r="G161" t="inlineStr">
        <is>
          <t>NW</t>
        </is>
      </c>
      <c r="H161" t="inlineStr">
        <is>
          <t>P2Y</t>
        </is>
      </c>
      <c r="I161" t="inlineStr">
        <is>
          <t>HOLES</t>
        </is>
      </c>
      <c r="J161" t="inlineStr">
        <is>
          <t>N/A</t>
        </is>
      </c>
      <c r="K161" t="n">
        <v>13400</v>
      </c>
      <c r="L161" t="n">
        <v>15400</v>
      </c>
      <c r="M161" t="n">
        <v>16000</v>
      </c>
      <c r="N161" t="n">
        <v>16800</v>
      </c>
      <c r="O161" t="n">
        <v>17600</v>
      </c>
      <c r="P161" t="n">
        <v>18200</v>
      </c>
      <c r="Q161" t="n">
        <v>19000</v>
      </c>
      <c r="R161" t="n">
        <v>1.892447225870471</v>
      </c>
      <c r="S161" t="n">
        <v>1.884931832270081</v>
      </c>
      <c r="T161" t="n">
        <v>1.883043589627982</v>
      </c>
      <c r="U161" t="n">
        <v>1.880735737509862</v>
      </c>
      <c r="V161" t="n">
        <v>1.878637690129753</v>
      </c>
      <c r="W161" t="n">
        <v>1.877185195789678</v>
      </c>
      <c r="X161" t="n">
        <v>1.8753912378679</v>
      </c>
    </row>
    <row r="162">
      <c r="A162" t="inlineStr">
        <is>
          <t>50X20X12|PRO 7030|NW|P1Y|HOLES|N/A</t>
        </is>
      </c>
      <c r="B162" t="inlineStr">
        <is>
          <t>GB-502012-M103-02</t>
        </is>
      </c>
      <c r="C162" t="inlineStr">
        <is>
          <t>GB 50x20x12 PRO 7030 NW P1Y + HOLES</t>
        </is>
      </c>
      <c r="D162" t="n">
        <v>1.4</v>
      </c>
      <c r="E162" t="inlineStr">
        <is>
          <t>50X20X12</t>
        </is>
      </c>
      <c r="F162" t="inlineStr">
        <is>
          <t>PRO 7030</t>
        </is>
      </c>
      <c r="G162" t="inlineStr">
        <is>
          <t>NW</t>
        </is>
      </c>
      <c r="H162" t="inlineStr">
        <is>
          <t>P1Y</t>
        </is>
      </c>
      <c r="I162" t="inlineStr">
        <is>
          <t>HOLES</t>
        </is>
      </c>
      <c r="J162" t="inlineStr">
        <is>
          <t>N/A</t>
        </is>
      </c>
      <c r="K162" t="n">
        <v>13000</v>
      </c>
      <c r="L162" t="n">
        <v>14800</v>
      </c>
      <c r="M162" t="n">
        <v>15400</v>
      </c>
      <c r="N162" t="n">
        <v>16200</v>
      </c>
      <c r="O162" t="n">
        <v>17000</v>
      </c>
      <c r="P162" t="n">
        <v>17600</v>
      </c>
      <c r="Q162" t="n">
        <v>18400</v>
      </c>
      <c r="R162" t="n">
        <v>1.745358065920465</v>
      </c>
      <c r="S162" t="n">
        <v>1.738103445540845</v>
      </c>
      <c r="T162" t="n">
        <v>1.736062102143982</v>
      </c>
      <c r="U162" t="n">
        <v>1.73357552747126</v>
      </c>
      <c r="V162" t="n">
        <v>1.731322983355971</v>
      </c>
      <c r="W162" t="n">
        <v>1.729767960003655</v>
      </c>
      <c r="X162" t="n">
        <v>1.727852351526164</v>
      </c>
    </row>
    <row r="163">
      <c r="A163" t="inlineStr">
        <is>
          <t>50X20X15|PRO 8020||P1Y|HOLES|N/A</t>
        </is>
      </c>
      <c r="B163" t="inlineStr">
        <is>
          <t>GB-502015-M102-01</t>
        </is>
      </c>
      <c r="C163" t="inlineStr">
        <is>
          <t>GB 50x20x15 PRO 8020 P1Y+HOLES</t>
        </is>
      </c>
      <c r="D163" t="n">
        <v>1.75</v>
      </c>
      <c r="E163" t="inlineStr">
        <is>
          <t>50X20X15</t>
        </is>
      </c>
      <c r="F163" t="inlineStr">
        <is>
          <t>PRO 8020</t>
        </is>
      </c>
      <c r="G163" t="inlineStr"/>
      <c r="H163" t="inlineStr">
        <is>
          <t>P1Y</t>
        </is>
      </c>
      <c r="I163" t="inlineStr">
        <is>
          <t>HOLES</t>
        </is>
      </c>
      <c r="J163" t="inlineStr">
        <is>
          <t>N/A</t>
        </is>
      </c>
      <c r="K163" t="n">
        <v>10400</v>
      </c>
      <c r="L163" t="n">
        <v>11800</v>
      </c>
      <c r="M163" t="n">
        <v>12400</v>
      </c>
      <c r="N163" t="n">
        <v>13000</v>
      </c>
      <c r="O163" t="n">
        <v>13600</v>
      </c>
      <c r="P163" t="n">
        <v>14000</v>
      </c>
      <c r="Q163" t="n">
        <v>14600</v>
      </c>
      <c r="R163" t="n">
        <v>2.01562728038784</v>
      </c>
      <c r="S163" t="n">
        <v>2.00678101542399</v>
      </c>
      <c r="T163" t="n">
        <v>2.003601251980763</v>
      </c>
      <c r="U163" t="n">
        <v>2.000715005163065</v>
      </c>
      <c r="V163" t="n">
        <v>1.998083427182222</v>
      </c>
      <c r="W163" t="n">
        <v>1.996454355098843</v>
      </c>
      <c r="X163" t="n">
        <v>1.9941781173933</v>
      </c>
    </row>
    <row r="164">
      <c r="A164" t="inlineStr">
        <is>
          <t>50X20X15|PRO 7030|NW|P1Y|HOLES|N/A</t>
        </is>
      </c>
      <c r="B164" t="inlineStr">
        <is>
          <t>GB-502015-M103-02</t>
        </is>
      </c>
      <c r="C164" t="inlineStr">
        <is>
          <t>GB 50X20X15 PRO 7030 NW P1Y+Holes</t>
        </is>
      </c>
      <c r="D164" t="n">
        <v>1.75</v>
      </c>
      <c r="E164" t="inlineStr">
        <is>
          <t>50X20X15</t>
        </is>
      </c>
      <c r="F164" t="inlineStr">
        <is>
          <t>PRO 7030</t>
        </is>
      </c>
      <c r="G164" t="inlineStr">
        <is>
          <t>NW</t>
        </is>
      </c>
      <c r="H164" t="inlineStr">
        <is>
          <t>P1Y</t>
        </is>
      </c>
      <c r="I164" t="inlineStr">
        <is>
          <t>HOLES</t>
        </is>
      </c>
      <c r="J164" t="inlineStr">
        <is>
          <t>N/A</t>
        </is>
      </c>
      <c r="K164" t="n">
        <v>10400</v>
      </c>
      <c r="L164" t="n">
        <v>11800</v>
      </c>
      <c r="M164" t="n">
        <v>12400</v>
      </c>
      <c r="N164" t="n">
        <v>13000</v>
      </c>
      <c r="O164" t="n">
        <v>13600</v>
      </c>
      <c r="P164" t="n">
        <v>14000</v>
      </c>
      <c r="Q164" t="n">
        <v>14600</v>
      </c>
      <c r="R164" t="n">
        <v>2.126622192164386</v>
      </c>
      <c r="S164" t="n">
        <v>2.117775927200536</v>
      </c>
      <c r="T164" t="n">
        <v>2.114596163757309</v>
      </c>
      <c r="U164" t="n">
        <v>2.11170991693961</v>
      </c>
      <c r="V164" t="n">
        <v>2.109078338958768</v>
      </c>
      <c r="W164" t="n">
        <v>2.107449266875389</v>
      </c>
      <c r="X164" t="n">
        <v>2.105173029169846</v>
      </c>
    </row>
    <row r="165">
      <c r="A165" t="inlineStr">
        <is>
          <t>50X20X15|PLF 3070|NW|P1Y|HOLES|N/A</t>
        </is>
      </c>
      <c r="B165" t="inlineStr">
        <is>
          <t>GB-502015-M107-01</t>
        </is>
      </c>
      <c r="C165" t="inlineStr">
        <is>
          <t>GB 50X20X15 PLF 3070 NW P1Y +HOLES</t>
        </is>
      </c>
      <c r="D165" t="n">
        <v>1.7</v>
      </c>
      <c r="E165" t="inlineStr">
        <is>
          <t>50X20X15</t>
        </is>
      </c>
      <c r="F165" t="inlineStr">
        <is>
          <t>PLF 3070</t>
        </is>
      </c>
      <c r="G165" t="inlineStr">
        <is>
          <t>NW</t>
        </is>
      </c>
      <c r="H165" t="inlineStr">
        <is>
          <t>P1Y</t>
        </is>
      </c>
      <c r="I165" t="inlineStr">
        <is>
          <t>HOLES</t>
        </is>
      </c>
      <c r="J165" t="inlineStr">
        <is>
          <t>N/A</t>
        </is>
      </c>
      <c r="K165" t="n">
        <v>10600</v>
      </c>
      <c r="L165" t="n">
        <v>12200</v>
      </c>
      <c r="M165" t="n">
        <v>12800</v>
      </c>
      <c r="N165" t="n">
        <v>13400</v>
      </c>
      <c r="O165" t="n">
        <v>14000</v>
      </c>
      <c r="P165" t="n">
        <v>14400</v>
      </c>
      <c r="Q165" t="n">
        <v>15000</v>
      </c>
      <c r="R165" t="n">
        <v>2.215592503131535</v>
      </c>
      <c r="S165" t="n">
        <v>2.205998462776591</v>
      </c>
      <c r="T165" t="n">
        <v>2.20301906352574</v>
      </c>
      <c r="U165" t="n">
        <v>2.200306476148099</v>
      </c>
      <c r="V165" t="n">
        <v>2.19782639625997</v>
      </c>
      <c r="W165" t="n">
        <v>2.196287828181223</v>
      </c>
      <c r="X165" t="n">
        <v>2.194133832870978</v>
      </c>
    </row>
    <row r="166">
      <c r="A166" t="inlineStr">
        <is>
          <t>50X20X15|PLF 3070|NW|P2Y|HOLES|N/A</t>
        </is>
      </c>
      <c r="B166" t="inlineStr">
        <is>
          <t>GB-502015-M107-02</t>
        </is>
      </c>
      <c r="C166" t="inlineStr">
        <is>
          <t>GB 50X20X15 PLF 3070 NW P2Y +HOLES</t>
        </is>
      </c>
      <c r="D166" t="n">
        <v>1.7</v>
      </c>
      <c r="E166" t="inlineStr">
        <is>
          <t>50X20X15</t>
        </is>
      </c>
      <c r="F166" t="inlineStr">
        <is>
          <t>PLF 3070</t>
        </is>
      </c>
      <c r="G166" t="inlineStr">
        <is>
          <t>NW</t>
        </is>
      </c>
      <c r="H166" t="inlineStr">
        <is>
          <t>P2Y</t>
        </is>
      </c>
      <c r="I166" t="inlineStr">
        <is>
          <t>HOLES</t>
        </is>
      </c>
      <c r="J166" t="inlineStr">
        <is>
          <t>N/A</t>
        </is>
      </c>
      <c r="K166" t="n">
        <v>10600</v>
      </c>
      <c r="L166" t="n">
        <v>12200</v>
      </c>
      <c r="M166" t="n">
        <v>12800</v>
      </c>
      <c r="N166" t="n">
        <v>13400</v>
      </c>
      <c r="O166" t="n">
        <v>14000</v>
      </c>
      <c r="P166" t="n">
        <v>14400</v>
      </c>
      <c r="Q166" t="n">
        <v>15000</v>
      </c>
      <c r="R166" t="n">
        <v>2.245413542092574</v>
      </c>
      <c r="S166" t="n">
        <v>2.235819501737631</v>
      </c>
      <c r="T166" t="n">
        <v>2.232840102486779</v>
      </c>
      <c r="U166" t="n">
        <v>2.230127515109138</v>
      </c>
      <c r="V166" t="n">
        <v>2.22764743522101</v>
      </c>
      <c r="W166" t="n">
        <v>2.226108867142263</v>
      </c>
      <c r="X166" t="n">
        <v>2.223954871832017</v>
      </c>
    </row>
    <row r="167">
      <c r="A167" t="inlineStr">
        <is>
          <t>50X20X18|PRO 8020|NW|P2Y|N/A|N/A</t>
        </is>
      </c>
      <c r="B167" t="inlineStr">
        <is>
          <t>GB-502018-M102-01</t>
        </is>
      </c>
      <c r="C167" t="inlineStr">
        <is>
          <t>GB 50x20x18 PRO 8020 NW P2Y</t>
        </is>
      </c>
      <c r="D167" t="n">
        <v>2.1</v>
      </c>
      <c r="E167" t="inlineStr">
        <is>
          <t>50X20X18</t>
        </is>
      </c>
      <c r="F167" t="inlineStr">
        <is>
          <t>PRO 8020</t>
        </is>
      </c>
      <c r="G167" t="inlineStr">
        <is>
          <t>NW</t>
        </is>
      </c>
      <c r="H167" t="inlineStr">
        <is>
          <t>P2Y</t>
        </is>
      </c>
      <c r="I167" t="inlineStr">
        <is>
          <t>N/A</t>
        </is>
      </c>
      <c r="J167" t="inlineStr">
        <is>
          <t>N/A</t>
        </is>
      </c>
      <c r="K167" t="n">
        <v>8600</v>
      </c>
      <c r="L167" t="n">
        <v>9800</v>
      </c>
      <c r="M167" t="n">
        <v>10200</v>
      </c>
      <c r="N167" t="n">
        <v>10800</v>
      </c>
      <c r="O167" t="n">
        <v>11200</v>
      </c>
      <c r="P167" t="n">
        <v>11800</v>
      </c>
      <c r="Q167" t="n">
        <v>12200</v>
      </c>
      <c r="R167" t="n">
        <v>2.394567455682795</v>
      </c>
      <c r="S167" t="n">
        <v>2.383526568473185</v>
      </c>
      <c r="T167" t="n">
        <v>2.380423574028654</v>
      </c>
      <c r="U167" t="n">
        <v>2.376200053812487</v>
      </c>
      <c r="V167" t="n">
        <v>2.373635773681242</v>
      </c>
      <c r="W167" t="n">
        <v>2.37011532129767</v>
      </c>
      <c r="X167" t="n">
        <v>2.367960727489144</v>
      </c>
    </row>
    <row r="168">
      <c r="A168" t="inlineStr">
        <is>
          <t>60X15X12|PRO 8020|NW|P2Y|N/A|N/A</t>
        </is>
      </c>
      <c r="B168" t="inlineStr">
        <is>
          <t>GB-601512-M102-01</t>
        </is>
      </c>
      <c r="C168" t="inlineStr">
        <is>
          <t>GB 60x15x12 PRO 8020 NW P2Y</t>
        </is>
      </c>
      <c r="D168" t="n">
        <v>1.25</v>
      </c>
      <c r="E168" t="inlineStr">
        <is>
          <t>60X15X12</t>
        </is>
      </c>
      <c r="F168" t="inlineStr">
        <is>
          <t>PRO 8020</t>
        </is>
      </c>
      <c r="G168" t="inlineStr">
        <is>
          <t>NW</t>
        </is>
      </c>
      <c r="H168" t="inlineStr">
        <is>
          <t>P2Y</t>
        </is>
      </c>
      <c r="I168" t="inlineStr">
        <is>
          <t>N/A</t>
        </is>
      </c>
      <c r="J168" t="inlineStr">
        <is>
          <t>N/A</t>
        </is>
      </c>
      <c r="K168" t="n">
        <v>14600</v>
      </c>
      <c r="L168" t="n">
        <v>16600</v>
      </c>
      <c r="M168" t="n">
        <v>17400</v>
      </c>
      <c r="N168" t="n">
        <v>18200</v>
      </c>
      <c r="O168" t="n">
        <v>19000</v>
      </c>
      <c r="P168" t="n">
        <v>19800</v>
      </c>
      <c r="Q168" t="n">
        <v>20600</v>
      </c>
      <c r="R168" t="n">
        <v>1.649370628427092</v>
      </c>
      <c r="S168" t="n">
        <v>1.64297156660428</v>
      </c>
      <c r="T168" t="n">
        <v>1.640823835509728</v>
      </c>
      <c r="U168" t="n">
        <v>1.63886491593997</v>
      </c>
      <c r="V168" t="n">
        <v>1.637070958018193</v>
      </c>
      <c r="W168" t="n">
        <v>1.635421966393125</v>
      </c>
      <c r="X168" t="n">
        <v>1.633901051787479</v>
      </c>
    </row>
    <row r="169">
      <c r="A169" t="inlineStr">
        <is>
          <t>60X18X14|PRO 7030|NW|P1Y|HOLES|N/A</t>
        </is>
      </c>
      <c r="B169" t="inlineStr">
        <is>
          <t>GB-601814-M103-01</t>
        </is>
      </c>
      <c r="C169" t="inlineStr">
        <is>
          <t>GB 60x18x14 PRO 7030 NW P1Y + HOLES</t>
        </is>
      </c>
      <c r="D169" t="n">
        <v>1.75</v>
      </c>
      <c r="E169" t="inlineStr">
        <is>
          <t>60X18X14</t>
        </is>
      </c>
      <c r="F169" t="inlineStr">
        <is>
          <t>PRO 7030</t>
        </is>
      </c>
      <c r="G169" t="inlineStr">
        <is>
          <t>NW</t>
        </is>
      </c>
      <c r="H169" t="inlineStr">
        <is>
          <t>P1Y</t>
        </is>
      </c>
      <c r="I169" t="inlineStr">
        <is>
          <t>HOLES</t>
        </is>
      </c>
      <c r="J169" t="inlineStr">
        <is>
          <t>N/A</t>
        </is>
      </c>
      <c r="K169" t="n">
        <v>10400</v>
      </c>
      <c r="L169" t="n">
        <v>11800</v>
      </c>
      <c r="M169" t="n">
        <v>12400</v>
      </c>
      <c r="N169" t="n">
        <v>13000</v>
      </c>
      <c r="O169" t="n">
        <v>13600</v>
      </c>
      <c r="P169" t="n">
        <v>14000</v>
      </c>
      <c r="Q169" t="n">
        <v>14600</v>
      </c>
      <c r="R169" t="n">
        <v>2.272066608722933</v>
      </c>
      <c r="S169" t="n">
        <v>2.263220343759083</v>
      </c>
      <c r="T169" t="n">
        <v>2.260040580315856</v>
      </c>
      <c r="U169" t="n">
        <v>2.257154333498157</v>
      </c>
      <c r="V169" t="n">
        <v>2.254522755517315</v>
      </c>
      <c r="W169" t="n">
        <v>2.252893683433936</v>
      </c>
      <c r="X169" t="n">
        <v>2.250617445728393</v>
      </c>
    </row>
    <row r="170">
      <c r="A170" t="inlineStr">
        <is>
          <t>60X20X15|PRO 7030|NW|P2Y|HOLES|N/A</t>
        </is>
      </c>
      <c r="B170" t="inlineStr">
        <is>
          <t>GB-602015-M103-01</t>
        </is>
      </c>
      <c r="C170" t="inlineStr">
        <is>
          <t>GB 60x20x15 PRO 7030 NW P2Y + HOLES</t>
        </is>
      </c>
      <c r="D170" t="n">
        <v>2.1</v>
      </c>
      <c r="E170" t="inlineStr">
        <is>
          <t>60X20X15</t>
        </is>
      </c>
      <c r="F170" t="inlineStr">
        <is>
          <t>PRO 7030</t>
        </is>
      </c>
      <c r="G170" t="inlineStr">
        <is>
          <t>NW</t>
        </is>
      </c>
      <c r="H170" t="inlineStr">
        <is>
          <t>P2Y</t>
        </is>
      </c>
      <c r="I170" t="inlineStr">
        <is>
          <t>HOLES</t>
        </is>
      </c>
      <c r="J170" t="inlineStr">
        <is>
          <t>N/A</t>
        </is>
      </c>
      <c r="K170" t="n">
        <v>8600</v>
      </c>
      <c r="L170" t="n">
        <v>9800</v>
      </c>
      <c r="M170" t="n">
        <v>10200</v>
      </c>
      <c r="N170" t="n">
        <v>10800</v>
      </c>
      <c r="O170" t="n">
        <v>11200</v>
      </c>
      <c r="P170" t="n">
        <v>11800</v>
      </c>
      <c r="Q170" t="n">
        <v>12200</v>
      </c>
      <c r="R170" t="n">
        <v>2.587218505984271</v>
      </c>
      <c r="S170" t="n">
        <v>2.576177618774661</v>
      </c>
      <c r="T170" t="n">
        <v>2.57307462433013</v>
      </c>
      <c r="U170" t="n">
        <v>2.568851104113963</v>
      </c>
      <c r="V170" t="n">
        <v>2.566286823982718</v>
      </c>
      <c r="W170" t="n">
        <v>2.562766371599146</v>
      </c>
      <c r="X170" t="n">
        <v>2.56061177779062</v>
      </c>
    </row>
    <row r="171">
      <c r="A171" t="inlineStr">
        <is>
          <t>70X15X12|PRO 8020|NW|P2Y|HOLES|N/A</t>
        </is>
      </c>
      <c r="B171" t="inlineStr">
        <is>
          <t>GB-701512-M102-01</t>
        </is>
      </c>
      <c r="C171" t="inlineStr">
        <is>
          <t>GB 70x15x12 PRO 8020 NW P2Y+HOLES</t>
        </is>
      </c>
      <c r="D171" t="n">
        <v>1.6</v>
      </c>
      <c r="E171" t="inlineStr">
        <is>
          <t>70X15X12</t>
        </is>
      </c>
      <c r="F171" t="inlineStr">
        <is>
          <t>PRO 8020</t>
        </is>
      </c>
      <c r="G171" t="inlineStr">
        <is>
          <t>NW</t>
        </is>
      </c>
      <c r="H171" t="inlineStr">
        <is>
          <t>P2Y</t>
        </is>
      </c>
      <c r="I171" t="inlineStr">
        <is>
          <t>HOLES</t>
        </is>
      </c>
      <c r="J171" t="inlineStr">
        <is>
          <t>N/A</t>
        </is>
      </c>
      <c r="K171" t="n">
        <v>11400</v>
      </c>
      <c r="L171" t="n">
        <v>13000</v>
      </c>
      <c r="M171" t="n">
        <v>13600</v>
      </c>
      <c r="N171" t="n">
        <v>14200</v>
      </c>
      <c r="O171" t="n">
        <v>14800</v>
      </c>
      <c r="P171" t="n">
        <v>15400</v>
      </c>
      <c r="Q171" t="n">
        <v>16000</v>
      </c>
      <c r="R171" t="n">
        <v>1.988734405120871</v>
      </c>
      <c r="S171" t="n">
        <v>1.980362601485909</v>
      </c>
      <c r="T171" t="n">
        <v>1.977731023505067</v>
      </c>
      <c r="U171" t="n">
        <v>1.975321832395845</v>
      </c>
      <c r="V171" t="n">
        <v>1.973107981106289</v>
      </c>
      <c r="W171" t="n">
        <v>1.971066637709426</v>
      </c>
      <c r="X171" t="n">
        <v>1.969178395067328</v>
      </c>
    </row>
    <row r="172">
      <c r="A172" t="inlineStr">
        <is>
          <t>70X15X12|PLF 3070|NW|P2Y|HOLES|N/A</t>
        </is>
      </c>
      <c r="B172" t="inlineStr">
        <is>
          <t>GB-701512-M107-01</t>
        </is>
      </c>
      <c r="C172" t="inlineStr">
        <is>
          <t>GB 70x15x12 PLF 3070 NW P2Y+HOLES</t>
        </is>
      </c>
      <c r="D172" t="n">
        <v>1.5</v>
      </c>
      <c r="E172" t="inlineStr">
        <is>
          <t>70X15X12</t>
        </is>
      </c>
      <c r="F172" t="inlineStr">
        <is>
          <t>PLF 3070</t>
        </is>
      </c>
      <c r="G172" t="inlineStr">
        <is>
          <t>NW</t>
        </is>
      </c>
      <c r="H172" t="inlineStr">
        <is>
          <t>P2Y</t>
        </is>
      </c>
      <c r="I172" t="inlineStr">
        <is>
          <t>HOLES</t>
        </is>
      </c>
      <c r="J172" t="inlineStr">
        <is>
          <t>N/A</t>
        </is>
      </c>
      <c r="K172" t="n">
        <v>12200</v>
      </c>
      <c r="L172" t="n">
        <v>13800</v>
      </c>
      <c r="M172" t="n">
        <v>14400</v>
      </c>
      <c r="N172" t="n">
        <v>15200</v>
      </c>
      <c r="O172" t="n">
        <v>15800</v>
      </c>
      <c r="P172" t="n">
        <v>16400</v>
      </c>
      <c r="Q172" t="n">
        <v>17200</v>
      </c>
      <c r="R172" t="n">
        <v>2.107498116333689</v>
      </c>
      <c r="S172" t="n">
        <v>2.100128780988587</v>
      </c>
      <c r="T172" t="n">
        <v>2.09778748173832</v>
      </c>
      <c r="U172" t="n">
        <v>2.094953277382734</v>
      </c>
      <c r="V172" t="n">
        <v>2.093015973139675</v>
      </c>
      <c r="W172" t="n">
        <v>2.091220422865621</v>
      </c>
      <c r="X172" t="n">
        <v>2.089021221754764</v>
      </c>
    </row>
    <row r="173">
      <c r="A173" t="inlineStr">
        <is>
          <t>75X18X14|PLF 3070|NW|P2Y|HOLES|N/A</t>
        </is>
      </c>
      <c r="B173" t="inlineStr">
        <is>
          <t>GB-751814-M107-01</t>
        </is>
      </c>
      <c r="C173" t="inlineStr">
        <is>
          <t>GB 75x18x14 PLF 3070 NW P2Y + HOLES</t>
        </is>
      </c>
      <c r="D173" t="n">
        <v>2.1</v>
      </c>
      <c r="E173" t="inlineStr">
        <is>
          <t>75X18X14</t>
        </is>
      </c>
      <c r="F173" t="inlineStr">
        <is>
          <t>PLF 3070</t>
        </is>
      </c>
      <c r="G173" t="inlineStr">
        <is>
          <t>NW</t>
        </is>
      </c>
      <c r="H173" t="inlineStr">
        <is>
          <t>P2Y</t>
        </is>
      </c>
      <c r="I173" t="inlineStr">
        <is>
          <t>HOLES</t>
        </is>
      </c>
      <c r="J173" t="inlineStr">
        <is>
          <t>N/A</t>
        </is>
      </c>
      <c r="K173" t="n">
        <v>8600</v>
      </c>
      <c r="L173" t="n">
        <v>9800</v>
      </c>
      <c r="M173" t="n">
        <v>10200</v>
      </c>
      <c r="N173" t="n">
        <v>10800</v>
      </c>
      <c r="O173" t="n">
        <v>11200</v>
      </c>
      <c r="P173" t="n">
        <v>11800</v>
      </c>
      <c r="Q173" t="n">
        <v>12200</v>
      </c>
      <c r="R173" t="n">
        <v>2.8974951964322</v>
      </c>
      <c r="S173" t="n">
        <v>2.886454309222589</v>
      </c>
      <c r="T173" t="n">
        <v>2.883351314778058</v>
      </c>
      <c r="U173" t="n">
        <v>2.87912779456189</v>
      </c>
      <c r="V173" t="n">
        <v>2.876563514430647</v>
      </c>
      <c r="W173" t="n">
        <v>2.873043062047074</v>
      </c>
      <c r="X173" t="n">
        <v>2.870888468238548</v>
      </c>
    </row>
    <row r="174">
      <c r="A174" t="inlineStr">
        <is>
          <t>75X30X14|PRO 5050|NW|P3Y|HOLES|N/A</t>
        </is>
      </c>
      <c r="B174" t="inlineStr">
        <is>
          <t>GB-753014-M105-01</t>
        </is>
      </c>
      <c r="C174" t="inlineStr">
        <is>
          <t>GB 75x30x14 PRO 5050 NW P3Y+HOLES</t>
        </is>
      </c>
      <c r="D174" t="n">
        <v>3.7</v>
      </c>
      <c r="E174" t="inlineStr">
        <is>
          <t>75X30X14</t>
        </is>
      </c>
      <c r="F174" t="inlineStr">
        <is>
          <t>PRO 5050</t>
        </is>
      </c>
      <c r="G174" t="inlineStr">
        <is>
          <t>NW</t>
        </is>
      </c>
      <c r="H174" t="inlineStr">
        <is>
          <t>P3Y</t>
        </is>
      </c>
      <c r="I174" t="inlineStr">
        <is>
          <t>HOLES</t>
        </is>
      </c>
      <c r="J174" t="inlineStr">
        <is>
          <t>N/A</t>
        </is>
      </c>
      <c r="K174" t="n">
        <v>4800</v>
      </c>
      <c r="L174" t="n">
        <v>5600</v>
      </c>
      <c r="M174" t="n">
        <v>5800</v>
      </c>
      <c r="N174" t="n">
        <v>6000</v>
      </c>
      <c r="O174" t="n">
        <v>6400</v>
      </c>
      <c r="P174" t="n">
        <v>6600</v>
      </c>
      <c r="Q174" t="n">
        <v>6800</v>
      </c>
      <c r="R174" t="n">
        <v>5.232493306019097</v>
      </c>
      <c r="S174" t="n">
        <v>5.209414784837897</v>
      </c>
      <c r="T174" t="n">
        <v>5.204639918386613</v>
      </c>
      <c r="U174" t="n">
        <v>5.200183376365416</v>
      </c>
      <c r="V174" t="n">
        <v>5.192105893951998</v>
      </c>
      <c r="W174" t="n">
        <v>5.188434311036806</v>
      </c>
      <c r="X174" t="n">
        <v>5.184978703587214</v>
      </c>
    </row>
    <row r="175">
      <c r="A175" t="inlineStr">
        <is>
          <t>80X20X12|PLF 3070|NW|P2Y|N/A|N/A</t>
        </is>
      </c>
      <c r="B175" t="inlineStr">
        <is>
          <t>GB-802012-M107-01</t>
        </is>
      </c>
      <c r="C175" t="inlineStr">
        <is>
          <t>GB 80x20x12 PLF 3070 NW P2Y</t>
        </is>
      </c>
      <c r="D175" t="n">
        <v>2.15</v>
      </c>
      <c r="E175" t="inlineStr">
        <is>
          <t>80X20X12</t>
        </is>
      </c>
      <c r="F175" t="inlineStr">
        <is>
          <t>PLF 3070</t>
        </is>
      </c>
      <c r="G175" t="inlineStr">
        <is>
          <t>NW</t>
        </is>
      </c>
      <c r="H175" t="inlineStr">
        <is>
          <t>P2Y</t>
        </is>
      </c>
      <c r="I175" t="inlineStr">
        <is>
          <t>N/A</t>
        </is>
      </c>
      <c r="J175" t="inlineStr">
        <is>
          <t>N/A</t>
        </is>
      </c>
      <c r="K175" t="n">
        <v>8400</v>
      </c>
      <c r="L175" t="n">
        <v>9600</v>
      </c>
      <c r="M175" t="n">
        <v>10000</v>
      </c>
      <c r="N175" t="n">
        <v>10600</v>
      </c>
      <c r="O175" t="n">
        <v>11000</v>
      </c>
      <c r="P175" t="n">
        <v>11400</v>
      </c>
      <c r="Q175" t="n">
        <v>12000</v>
      </c>
      <c r="R175" t="n">
        <v>2.953550472539856</v>
      </c>
      <c r="S175" t="n">
        <v>2.942011211949256</v>
      </c>
      <c r="T175" t="n">
        <v>2.938780218983889</v>
      </c>
      <c r="U175" t="n">
        <v>2.934390945521502</v>
      </c>
      <c r="V175" t="n">
        <v>2.931730779786722</v>
      </c>
      <c r="W175" t="n">
        <v>2.92925729234912</v>
      </c>
      <c r="X175" t="n">
        <v>2.925856247122417</v>
      </c>
    </row>
    <row r="176">
      <c r="A176" t="inlineStr">
        <is>
          <t>80X20X15|PLF 3070|NW|P2Y|HOLES|N/A</t>
        </is>
      </c>
      <c r="B176" t="inlineStr">
        <is>
          <t>GB-802015-M107-01</t>
        </is>
      </c>
      <c r="C176" t="inlineStr">
        <is>
          <t>GB 80x20x15 PLF 3070 NW P2Y+HOLES</t>
        </is>
      </c>
      <c r="D176" t="n">
        <v>2.65</v>
      </c>
      <c r="E176" t="inlineStr">
        <is>
          <t>80X20X15</t>
        </is>
      </c>
      <c r="F176" t="inlineStr">
        <is>
          <t>PLF 3070</t>
        </is>
      </c>
      <c r="G176" t="inlineStr">
        <is>
          <t>NW</t>
        </is>
      </c>
      <c r="H176" t="inlineStr">
        <is>
          <t>P2Y</t>
        </is>
      </c>
      <c r="I176" t="inlineStr">
        <is>
          <t>HOLES</t>
        </is>
      </c>
      <c r="J176" t="inlineStr">
        <is>
          <t>N/A</t>
        </is>
      </c>
      <c r="K176" t="n">
        <v>6800</v>
      </c>
      <c r="L176" t="n">
        <v>7800</v>
      </c>
      <c r="M176" t="n">
        <v>8200</v>
      </c>
      <c r="N176" t="n">
        <v>8600</v>
      </c>
      <c r="O176" t="n">
        <v>8800</v>
      </c>
      <c r="P176" t="n">
        <v>9200</v>
      </c>
      <c r="Q176" t="n">
        <v>9600</v>
      </c>
      <c r="R176" t="n">
        <v>3.511604423534661</v>
      </c>
      <c r="S176" t="n">
        <v>3.496984545863314</v>
      </c>
      <c r="T176" t="n">
        <v>3.492135025465013</v>
      </c>
      <c r="U176" t="n">
        <v>3.487736623243297</v>
      </c>
      <c r="V176" t="n">
        <v>3.485687367662726</v>
      </c>
      <c r="W176" t="n">
        <v>3.481856150707744</v>
      </c>
      <c r="X176" t="n">
        <v>3.478344201832344</v>
      </c>
    </row>
    <row r="177">
      <c r="A177" t="inlineStr">
        <is>
          <t>90X13X10|PLF 1090|NW|P2Y|N/A|N/A</t>
        </is>
      </c>
      <c r="B177" t="inlineStr">
        <is>
          <t>GB-901310-M109-01</t>
        </is>
      </c>
      <c r="C177" t="inlineStr">
        <is>
          <t>GB 90x13x10 PLF 1090 NW P2Y</t>
        </is>
      </c>
      <c r="D177" t="n">
        <v>1.4</v>
      </c>
      <c r="E177" t="inlineStr">
        <is>
          <t>90X13X10</t>
        </is>
      </c>
      <c r="F177" t="inlineStr">
        <is>
          <t>PLF 1090</t>
        </is>
      </c>
      <c r="G177" t="inlineStr">
        <is>
          <t>NW</t>
        </is>
      </c>
      <c r="H177" t="inlineStr">
        <is>
          <t>P2Y</t>
        </is>
      </c>
      <c r="I177" t="inlineStr">
        <is>
          <t>N/A</t>
        </is>
      </c>
      <c r="J177" t="inlineStr">
        <is>
          <t>N/A</t>
        </is>
      </c>
      <c r="K177" t="n">
        <v>13000</v>
      </c>
      <c r="L177" t="n">
        <v>14800</v>
      </c>
      <c r="M177" t="n">
        <v>15400</v>
      </c>
      <c r="N177" t="n">
        <v>16200</v>
      </c>
      <c r="O177" t="n">
        <v>17000</v>
      </c>
      <c r="P177" t="n">
        <v>17600</v>
      </c>
      <c r="Q177" t="n">
        <v>18400</v>
      </c>
      <c r="R177" t="n">
        <v>3.098331635648525</v>
      </c>
      <c r="S177" t="n">
        <v>3.091077015268905</v>
      </c>
      <c r="T177" t="n">
        <v>3.089035671872042</v>
      </c>
      <c r="U177" t="n">
        <v>3.08654909719932</v>
      </c>
      <c r="V177" t="n">
        <v>3.084296553084031</v>
      </c>
      <c r="W177" t="n">
        <v>3.082741529731714</v>
      </c>
      <c r="X177" t="n">
        <v>3.080825921254224</v>
      </c>
    </row>
    <row r="178">
      <c r="A178" t="inlineStr">
        <is>
          <t>90X20X12|PRO 7030|NW|P1Y|HOLES|N/A</t>
        </is>
      </c>
      <c r="B178" t="inlineStr">
        <is>
          <t>GB-902012-M103-03</t>
        </is>
      </c>
      <c r="C178" t="inlineStr">
        <is>
          <t>GB 90x20x12 PRO 7030 NW P1Y + HOLES</t>
        </is>
      </c>
      <c r="D178" t="n">
        <v>2.5</v>
      </c>
      <c r="E178" t="inlineStr">
        <is>
          <t>90X20X12</t>
        </is>
      </c>
      <c r="F178" t="inlineStr">
        <is>
          <t>PRO 7030</t>
        </is>
      </c>
      <c r="G178" t="inlineStr">
        <is>
          <t>NW</t>
        </is>
      </c>
      <c r="H178" t="inlineStr">
        <is>
          <t>P1Y</t>
        </is>
      </c>
      <c r="I178" t="inlineStr">
        <is>
          <t>HOLES</t>
        </is>
      </c>
      <c r="J178" t="inlineStr">
        <is>
          <t>N/A</t>
        </is>
      </c>
      <c r="K178" t="n">
        <v>7200</v>
      </c>
      <c r="L178" t="n">
        <v>8200</v>
      </c>
      <c r="M178" t="n">
        <v>8600</v>
      </c>
      <c r="N178" t="n">
        <v>9000</v>
      </c>
      <c r="O178" t="n">
        <v>9400</v>
      </c>
      <c r="P178" t="n">
        <v>9800</v>
      </c>
      <c r="Q178" t="n">
        <v>10200</v>
      </c>
      <c r="R178" t="n">
        <v>3.098493917808929</v>
      </c>
      <c r="S178" t="n">
        <v>3.08535980006353</v>
      </c>
      <c r="T178" t="n">
        <v>3.080961397841816</v>
      </c>
      <c r="U178" t="n">
        <v>3.076953964706476</v>
      </c>
      <c r="V178" t="n">
        <v>3.073287589710314</v>
      </c>
      <c r="W178" t="n">
        <v>3.069920510632206</v>
      </c>
      <c r="X178" t="n">
        <v>3.066817516187674</v>
      </c>
    </row>
    <row r="179">
      <c r="A179" t="inlineStr">
        <is>
          <t>90X20X12|PLF 3070|NW||HOLES|N/A</t>
        </is>
      </c>
      <c r="B179" t="inlineStr">
        <is>
          <t>GB-902012-M107-01</t>
        </is>
      </c>
      <c r="C179" t="inlineStr">
        <is>
          <t>GB 90x20x12 PLF 3070 NW + HOLES</t>
        </is>
      </c>
      <c r="D179" t="n">
        <v>2.4</v>
      </c>
      <c r="E179" t="inlineStr">
        <is>
          <t>90X20X12</t>
        </is>
      </c>
      <c r="F179" t="inlineStr">
        <is>
          <t>PLF 3070</t>
        </is>
      </c>
      <c r="G179" t="inlineStr">
        <is>
          <t>NW</t>
        </is>
      </c>
      <c r="H179" t="inlineStr"/>
      <c r="I179" t="inlineStr">
        <is>
          <t>HOLES</t>
        </is>
      </c>
      <c r="J179" t="inlineStr">
        <is>
          <t>N/A</t>
        </is>
      </c>
      <c r="K179" t="n">
        <v>7600</v>
      </c>
      <c r="L179" t="n">
        <v>8600</v>
      </c>
      <c r="M179" t="n">
        <v>9000</v>
      </c>
      <c r="N179" t="n">
        <v>9400</v>
      </c>
      <c r="O179" t="n">
        <v>9800</v>
      </c>
      <c r="P179" t="n">
        <v>10200</v>
      </c>
      <c r="Q179" t="n">
        <v>10600</v>
      </c>
      <c r="R179" t="n">
        <v>3.240937091193281</v>
      </c>
      <c r="S179" t="n">
        <v>3.22907297993734</v>
      </c>
      <c r="T179" t="n">
        <v>3.225065546801999</v>
      </c>
      <c r="U179" t="n">
        <v>3.221399171805837</v>
      </c>
      <c r="V179" t="n">
        <v>3.218032092727729</v>
      </c>
      <c r="W179" t="n">
        <v>3.214929098283198</v>
      </c>
      <c r="X179" t="n">
        <v>3.212060292098631</v>
      </c>
    </row>
    <row r="180">
      <c r="A180" t="inlineStr">
        <is>
          <t>90X20X13|PRO 6040|NW|P2Y|HOLES|N/A</t>
        </is>
      </c>
      <c r="B180" t="inlineStr">
        <is>
          <t>GB-902013-M104-01</t>
        </is>
      </c>
      <c r="C180" t="inlineStr">
        <is>
          <t>GB 90x20x13 PRO 6040 NW P2Y+HOLES</t>
        </is>
      </c>
      <c r="D180" t="n">
        <v>2.7</v>
      </c>
      <c r="E180" t="inlineStr">
        <is>
          <t>90X20X13</t>
        </is>
      </c>
      <c r="F180" t="inlineStr">
        <is>
          <t>PRO 6040</t>
        </is>
      </c>
      <c r="G180" t="inlineStr">
        <is>
          <t>NW</t>
        </is>
      </c>
      <c r="H180" t="inlineStr">
        <is>
          <t>P2Y</t>
        </is>
      </c>
      <c r="I180" t="inlineStr">
        <is>
          <t>HOLES</t>
        </is>
      </c>
      <c r="J180" t="inlineStr">
        <is>
          <t>N/A</t>
        </is>
      </c>
      <c r="K180" t="n">
        <v>6600</v>
      </c>
      <c r="L180" t="n">
        <v>7600</v>
      </c>
      <c r="M180" t="n">
        <v>8000</v>
      </c>
      <c r="N180" t="n">
        <v>8400</v>
      </c>
      <c r="O180" t="n">
        <v>8800</v>
      </c>
      <c r="P180" t="n">
        <v>9000</v>
      </c>
      <c r="Q180" t="n">
        <v>9400</v>
      </c>
      <c r="R180" t="n">
        <v>3.51663499496797</v>
      </c>
      <c r="S180" t="n">
        <v>3.501175698482955</v>
      </c>
      <c r="T180" t="n">
        <v>3.496074130642902</v>
      </c>
      <c r="U180" t="n">
        <v>3.491458426406661</v>
      </c>
      <c r="V180" t="n">
        <v>3.487262331646443</v>
      </c>
      <c r="W180" t="n">
        <v>3.485304154091675</v>
      </c>
      <c r="X180" t="n">
        <v>3.481637779095512</v>
      </c>
    </row>
    <row r="181">
      <c r="A181" t="inlineStr">
        <is>
          <t>90X20X15|PLF 3070|NW|P2Y|HOLES|N/A</t>
        </is>
      </c>
      <c r="B181" t="inlineStr">
        <is>
          <t>GB-902015-M107-01</t>
        </is>
      </c>
      <c r="C181" t="inlineStr">
        <is>
          <t>GB 90x20x15 PLF 3070 NW P2Y+HOLES</t>
        </is>
      </c>
      <c r="D181" t="n">
        <v>3</v>
      </c>
      <c r="E181" t="inlineStr">
        <is>
          <t>90X20X15</t>
        </is>
      </c>
      <c r="F181" t="inlineStr">
        <is>
          <t>PLF 3070</t>
        </is>
      </c>
      <c r="G181" t="inlineStr">
        <is>
          <t>NW</t>
        </is>
      </c>
      <c r="H181" t="inlineStr">
        <is>
          <t>P2Y</t>
        </is>
      </c>
      <c r="I181" t="inlineStr">
        <is>
          <t>HOLES</t>
        </is>
      </c>
      <c r="J181" t="inlineStr">
        <is>
          <t>N/A</t>
        </is>
      </c>
      <c r="K181" t="n">
        <v>6000</v>
      </c>
      <c r="L181" t="n">
        <v>6800</v>
      </c>
      <c r="M181" t="n">
        <v>7200</v>
      </c>
      <c r="N181" t="n">
        <v>7600</v>
      </c>
      <c r="O181" t="n">
        <v>7800</v>
      </c>
      <c r="P181" t="n">
        <v>8200</v>
      </c>
      <c r="Q181" t="n">
        <v>8600</v>
      </c>
      <c r="R181" t="n">
        <v>3.996777888170061</v>
      </c>
      <c r="S181" t="n">
        <v>3.981573215391859</v>
      </c>
      <c r="T181" t="n">
        <v>3.975237935067609</v>
      </c>
      <c r="U181" t="n">
        <v>3.969569526356437</v>
      </c>
      <c r="V181" t="n">
        <v>3.966953337720511</v>
      </c>
      <c r="W181" t="n">
        <v>3.96210381732221</v>
      </c>
      <c r="X181" t="n">
        <v>3.957705415100495</v>
      </c>
    </row>
    <row r="182">
      <c r="A182" t="inlineStr">
        <is>
          <t>97X18X10|16MM|NW|P2Y|HOLES|N/A</t>
        </is>
      </c>
      <c r="B182" t="inlineStr">
        <is>
          <t>GB-971810-M003-03</t>
        </is>
      </c>
      <c r="C182" t="inlineStr">
        <is>
          <t>GB 97x18x10 16mm NW P2Y + HOLES</t>
        </is>
      </c>
      <c r="D182" t="n">
        <v>1.9</v>
      </c>
      <c r="E182" t="inlineStr">
        <is>
          <t>97X18X10</t>
        </is>
      </c>
      <c r="F182" t="inlineStr">
        <is>
          <t>16MM</t>
        </is>
      </c>
      <c r="G182" t="inlineStr">
        <is>
          <t>NW</t>
        </is>
      </c>
      <c r="H182" t="inlineStr">
        <is>
          <t>P2Y</t>
        </is>
      </c>
      <c r="I182" t="inlineStr">
        <is>
          <t>HOLES</t>
        </is>
      </c>
      <c r="J182" t="inlineStr">
        <is>
          <t>N/A</t>
        </is>
      </c>
      <c r="K182" t="n">
        <v>9600</v>
      </c>
      <c r="L182" t="n">
        <v>10800</v>
      </c>
      <c r="M182" t="n">
        <v>11400</v>
      </c>
      <c r="N182" t="n">
        <v>12000</v>
      </c>
      <c r="O182" t="n">
        <v>12400</v>
      </c>
      <c r="P182" t="n">
        <v>13000</v>
      </c>
      <c r="Q182" t="n">
        <v>13400</v>
      </c>
      <c r="R182" t="n">
        <v>3.350321614049631</v>
      </c>
      <c r="S182" t="n">
        <v>3.341346633590276</v>
      </c>
      <c r="T182" t="n">
        <v>3.337567694449495</v>
      </c>
      <c r="U182" t="n">
        <v>3.334166649222792</v>
      </c>
      <c r="V182" t="n">
        <v>3.332082137632232</v>
      </c>
      <c r="W182" t="n">
        <v>3.329195890814533</v>
      </c>
      <c r="X182" t="n">
        <v>3.32741532063844</v>
      </c>
    </row>
    <row r="183">
      <c r="A183" t="inlineStr">
        <is>
          <t>97X18X10|16MM|NW|P2Y|HOLES|N/A</t>
        </is>
      </c>
      <c r="B183" t="inlineStr">
        <is>
          <t>GB-971810-M003-05</t>
        </is>
      </c>
      <c r="C183" t="inlineStr">
        <is>
          <t>GB 97x18x10 16mm NW P2Y + HOLES</t>
        </is>
      </c>
      <c r="D183" t="n">
        <v>1.9</v>
      </c>
      <c r="E183" t="inlineStr">
        <is>
          <t>97X18X10</t>
        </is>
      </c>
      <c r="F183" t="inlineStr">
        <is>
          <t>16MM</t>
        </is>
      </c>
      <c r="G183" t="inlineStr">
        <is>
          <t>NW</t>
        </is>
      </c>
      <c r="H183" t="inlineStr">
        <is>
          <t>P2Y</t>
        </is>
      </c>
      <c r="I183" t="inlineStr">
        <is>
          <t>HOLES</t>
        </is>
      </c>
      <c r="J183" t="inlineStr">
        <is>
          <t>N/A</t>
        </is>
      </c>
      <c r="K183" t="n">
        <v>9600</v>
      </c>
      <c r="L183" t="n">
        <v>10800</v>
      </c>
      <c r="M183" t="n">
        <v>11400</v>
      </c>
      <c r="N183" t="n">
        <v>12000</v>
      </c>
      <c r="O183" t="n">
        <v>12400</v>
      </c>
      <c r="P183" t="n">
        <v>13000</v>
      </c>
      <c r="Q183" t="n">
        <v>13400</v>
      </c>
      <c r="R183" t="n">
        <v>3.350321614049631</v>
      </c>
      <c r="S183" t="n">
        <v>3.341346633590276</v>
      </c>
      <c r="T183" t="n">
        <v>3.337567694449495</v>
      </c>
      <c r="U183" t="n">
        <v>3.334166649222792</v>
      </c>
      <c r="V183" t="n">
        <v>3.332082137632232</v>
      </c>
      <c r="W183" t="n">
        <v>3.329195890814533</v>
      </c>
      <c r="X183" t="n">
        <v>3.32741532063844</v>
      </c>
    </row>
    <row r="184">
      <c r="A184" t="inlineStr">
        <is>
          <t>97X18X10|16MM|NW|P2Y|HOLES|BSU</t>
        </is>
      </c>
      <c r="B184" t="inlineStr">
        <is>
          <t>GB-971810-M003-06</t>
        </is>
      </c>
      <c r="C184" t="inlineStr">
        <is>
          <t>GB 97x18x10 16mm NW BSU P2Y + HOLES</t>
        </is>
      </c>
      <c r="D184" t="n">
        <v>1.9</v>
      </c>
      <c r="E184" t="inlineStr">
        <is>
          <t>97X18X10</t>
        </is>
      </c>
      <c r="F184" t="inlineStr">
        <is>
          <t>16MM</t>
        </is>
      </c>
      <c r="G184" t="inlineStr">
        <is>
          <t>NW</t>
        </is>
      </c>
      <c r="H184" t="inlineStr">
        <is>
          <t>P2Y</t>
        </is>
      </c>
      <c r="I184" t="inlineStr">
        <is>
          <t>HOLES</t>
        </is>
      </c>
      <c r="J184" t="inlineStr">
        <is>
          <t>BSU</t>
        </is>
      </c>
      <c r="K184" t="n">
        <v>9600</v>
      </c>
      <c r="L184" t="n">
        <v>10800</v>
      </c>
      <c r="M184" t="n">
        <v>11400</v>
      </c>
      <c r="N184" t="n">
        <v>12000</v>
      </c>
      <c r="O184" t="n">
        <v>12400</v>
      </c>
      <c r="P184" t="n">
        <v>13000</v>
      </c>
      <c r="Q184" t="n">
        <v>13400</v>
      </c>
      <c r="R184" t="n">
        <v>3.350321614049631</v>
      </c>
      <c r="S184" t="n">
        <v>3.341346633590276</v>
      </c>
      <c r="T184" t="n">
        <v>3.337567694449495</v>
      </c>
      <c r="U184" t="n">
        <v>3.334166649222792</v>
      </c>
      <c r="V184" t="n">
        <v>3.332082137632232</v>
      </c>
      <c r="W184" t="n">
        <v>3.329195890814533</v>
      </c>
      <c r="X184" t="n">
        <v>3.32741532063844</v>
      </c>
    </row>
    <row r="185">
      <c r="A185" t="inlineStr">
        <is>
          <t>100X15X12|PLF 3070|NW|P2Y|HOLES|N/A</t>
        </is>
      </c>
      <c r="B185" t="inlineStr">
        <is>
          <t>GB-1001512-M107-22</t>
        </is>
      </c>
      <c r="C185" t="inlineStr">
        <is>
          <t>GB 100x15x12 PLF 3070 NW P2Y + HOLES</t>
        </is>
      </c>
      <c r="D185" t="n">
        <v>2</v>
      </c>
      <c r="E185" t="inlineStr">
        <is>
          <t>100X15X12</t>
        </is>
      </c>
      <c r="F185" t="inlineStr">
        <is>
          <t>PLF 3070</t>
        </is>
      </c>
      <c r="G185" t="inlineStr">
        <is>
          <t>NW</t>
        </is>
      </c>
      <c r="H185" t="inlineStr">
        <is>
          <t>P2Y</t>
        </is>
      </c>
      <c r="I185" t="inlineStr">
        <is>
          <t>HOLES</t>
        </is>
      </c>
      <c r="J185" t="inlineStr">
        <is>
          <t>N/A</t>
        </is>
      </c>
      <c r="K185" t="n">
        <v>9000</v>
      </c>
      <c r="L185" t="n">
        <v>10400</v>
      </c>
      <c r="M185" t="n">
        <v>10800</v>
      </c>
      <c r="N185" t="n">
        <v>11400</v>
      </c>
      <c r="O185" t="n">
        <v>11800</v>
      </c>
      <c r="P185" t="n">
        <v>12400</v>
      </c>
      <c r="Q185" t="n">
        <v>12800</v>
      </c>
      <c r="R185" t="n">
        <v>2.699933690948283</v>
      </c>
      <c r="S185" t="n">
        <v>2.688335254662347</v>
      </c>
      <c r="T185" t="n">
        <v>2.685573722213315</v>
      </c>
      <c r="U185" t="n">
        <v>2.681794783072533</v>
      </c>
      <c r="V185" t="n">
        <v>2.679488989698498</v>
      </c>
      <c r="W185" t="n">
        <v>2.67630922625527</v>
      </c>
      <c r="X185" t="n">
        <v>2.67435499663912</v>
      </c>
    </row>
    <row r="186">
      <c r="A186" t="inlineStr">
        <is>
          <t>100X15X12|16MM|NW|P1Y|HOLES|N/A</t>
        </is>
      </c>
      <c r="B186" t="inlineStr">
        <is>
          <t>GB-1001512-M003-10</t>
        </is>
      </c>
      <c r="C186" t="inlineStr">
        <is>
          <t>GB 100x15x12 16mm NW P1Y + HOLES</t>
        </is>
      </c>
      <c r="D186" t="n">
        <v>1.95</v>
      </c>
      <c r="E186" t="inlineStr">
        <is>
          <t>100X15X12</t>
        </is>
      </c>
      <c r="F186" t="inlineStr">
        <is>
          <t>16MM</t>
        </is>
      </c>
      <c r="G186" t="inlineStr">
        <is>
          <t>NW</t>
        </is>
      </c>
      <c r="H186" t="inlineStr">
        <is>
          <t>P1Y</t>
        </is>
      </c>
      <c r="I186" t="inlineStr">
        <is>
          <t>HOLES</t>
        </is>
      </c>
      <c r="J186" t="inlineStr">
        <is>
          <t>N/A</t>
        </is>
      </c>
      <c r="K186" t="n">
        <v>9200</v>
      </c>
      <c r="L186" t="n">
        <v>10600</v>
      </c>
      <c r="M186" t="n">
        <v>11000</v>
      </c>
      <c r="N186" t="n">
        <v>11600</v>
      </c>
      <c r="O186" t="n">
        <v>12200</v>
      </c>
      <c r="P186" t="n">
        <v>12600</v>
      </c>
      <c r="Q186" t="n">
        <v>13200</v>
      </c>
      <c r="R186" t="n">
        <v>3.321639317613107</v>
      </c>
      <c r="S186" t="n">
        <v>3.310507102309951</v>
      </c>
      <c r="T186" t="n">
        <v>3.307846936575172</v>
      </c>
      <c r="U186" t="n">
        <v>3.304200674921466</v>
      </c>
      <c r="V186" t="n">
        <v>3.300913061955008</v>
      </c>
      <c r="W186" t="n">
        <v>3.298895267753373</v>
      </c>
      <c r="X186" t="n">
        <v>3.296097871246561</v>
      </c>
    </row>
    <row r="187">
      <c r="A187" t="inlineStr">
        <is>
          <t>100X18X16|PLF 3070|NW|P1Y|HOLES|N/A</t>
        </is>
      </c>
      <c r="B187" t="inlineStr">
        <is>
          <t>GB-1001816-M107-24</t>
        </is>
      </c>
      <c r="C187" t="inlineStr">
        <is>
          <t>GB 100x18x16 PLF 3070 NW P1Y + HOLES</t>
        </is>
      </c>
      <c r="D187" t="n">
        <v>3.2</v>
      </c>
      <c r="E187" t="inlineStr">
        <is>
          <t>100X18X16</t>
        </is>
      </c>
      <c r="F187" t="inlineStr">
        <is>
          <t>PLF 3070</t>
        </is>
      </c>
      <c r="G187" t="inlineStr">
        <is>
          <t>NW</t>
        </is>
      </c>
      <c r="H187" t="inlineStr">
        <is>
          <t>P1Y</t>
        </is>
      </c>
      <c r="I187" t="inlineStr">
        <is>
          <t>HOLES</t>
        </is>
      </c>
      <c r="J187" t="inlineStr">
        <is>
          <t>N/A</t>
        </is>
      </c>
      <c r="K187" t="n">
        <v>5600</v>
      </c>
      <c r="L187" t="n">
        <v>6400</v>
      </c>
      <c r="M187" t="n">
        <v>6800</v>
      </c>
      <c r="N187" t="n">
        <v>7000</v>
      </c>
      <c r="O187" t="n">
        <v>7400</v>
      </c>
      <c r="P187" t="n">
        <v>7600</v>
      </c>
      <c r="Q187" t="n">
        <v>8000</v>
      </c>
      <c r="R187" t="n">
        <v>4.083577444512706</v>
      </c>
      <c r="S187" t="n">
        <v>4.066268553626805</v>
      </c>
      <c r="T187" t="n">
        <v>4.059141363262023</v>
      </c>
      <c r="U187" t="n">
        <v>4.055883219095266</v>
      </c>
      <c r="V187" t="n">
        <v>4.049895278464468</v>
      </c>
      <c r="W187" t="n">
        <v>4.0471376742266</v>
      </c>
      <c r="X187" t="n">
        <v>4.042036106386546</v>
      </c>
    </row>
    <row r="188">
      <c r="A188" t="inlineStr">
        <is>
          <t>100X15X12|16MM|NW|P3Y|HOLES|N/A</t>
        </is>
      </c>
      <c r="B188" t="inlineStr">
        <is>
          <t>GB-1001512-M003-11</t>
        </is>
      </c>
      <c r="C188" t="inlineStr">
        <is>
          <t>GB 100x15x12 16mm NW P3Y +HOLES</t>
        </is>
      </c>
      <c r="D188" t="n">
        <v>1.95</v>
      </c>
      <c r="E188" t="inlineStr">
        <is>
          <t>100X15X12</t>
        </is>
      </c>
      <c r="F188" t="inlineStr">
        <is>
          <t>16MM</t>
        </is>
      </c>
      <c r="G188" t="inlineStr">
        <is>
          <t>NW</t>
        </is>
      </c>
      <c r="H188" t="inlineStr">
        <is>
          <t>P3Y</t>
        </is>
      </c>
      <c r="I188" t="inlineStr">
        <is>
          <t>HOLES</t>
        </is>
      </c>
      <c r="J188" t="inlineStr">
        <is>
          <t>N/A</t>
        </is>
      </c>
      <c r="K188" t="n">
        <v>9200</v>
      </c>
      <c r="L188" t="n">
        <v>10600</v>
      </c>
      <c r="M188" t="n">
        <v>11000</v>
      </c>
      <c r="N188" t="n">
        <v>11600</v>
      </c>
      <c r="O188" t="n">
        <v>12200</v>
      </c>
      <c r="P188" t="n">
        <v>12600</v>
      </c>
      <c r="Q188" t="n">
        <v>13200</v>
      </c>
      <c r="R188" t="n">
        <v>3.439059658522198</v>
      </c>
      <c r="S188" t="n">
        <v>3.427927443219043</v>
      </c>
      <c r="T188" t="n">
        <v>3.425267277484263</v>
      </c>
      <c r="U188" t="n">
        <v>3.421621015830556</v>
      </c>
      <c r="V188" t="n">
        <v>3.4183334028641</v>
      </c>
      <c r="W188" t="n">
        <v>3.416315608662464</v>
      </c>
      <c r="X188" t="n">
        <v>3.413518212155652</v>
      </c>
    </row>
    <row r="189">
      <c r="A189" t="inlineStr">
        <is>
          <t>90X20X17|16MM|NW|P2Y|HOLES|N/A</t>
        </is>
      </c>
      <c r="B189" t="inlineStr">
        <is>
          <t>GB-902017-M003-01</t>
        </is>
      </c>
      <c r="C189" t="inlineStr">
        <is>
          <t>GB 90x20x17 16mm NW P2Y +HOLES</t>
        </is>
      </c>
      <c r="D189" t="n">
        <v>3.3</v>
      </c>
      <c r="E189" t="inlineStr">
        <is>
          <t>90X20X17</t>
        </is>
      </c>
      <c r="F189" t="inlineStr">
        <is>
          <t>16MM</t>
        </is>
      </c>
      <c r="G189" t="inlineStr">
        <is>
          <t>NW</t>
        </is>
      </c>
      <c r="H189" t="inlineStr">
        <is>
          <t>P2Y</t>
        </is>
      </c>
      <c r="I189" t="inlineStr">
        <is>
          <t>HOLES</t>
        </is>
      </c>
      <c r="J189" t="inlineStr">
        <is>
          <t>N/A</t>
        </is>
      </c>
      <c r="K189" t="n">
        <v>5400</v>
      </c>
      <c r="L189" t="n">
        <v>6200</v>
      </c>
      <c r="M189" t="n">
        <v>6600</v>
      </c>
      <c r="N189" t="n">
        <v>6800</v>
      </c>
      <c r="O189" t="n">
        <v>7200</v>
      </c>
      <c r="P189" t="n">
        <v>7400</v>
      </c>
      <c r="Q189" t="n">
        <v>7800</v>
      </c>
      <c r="R189" t="n">
        <v>5.532286929990179</v>
      </c>
      <c r="S189" t="n">
        <v>5.51375793807409</v>
      </c>
      <c r="T189" t="n">
        <v>5.5061778959266</v>
      </c>
      <c r="U189" t="n">
        <v>5.502722288477008</v>
      </c>
      <c r="V189" t="n">
        <v>5.496387008152757</v>
      </c>
      <c r="W189" t="n">
        <v>5.493476203679453</v>
      </c>
      <c r="X189" t="n">
        <v>5.48810241080566</v>
      </c>
    </row>
    <row r="190">
      <c r="A190" t="inlineStr">
        <is>
          <t>100X18X15|PLF 3070|NW|P1Y|HOLES|N/A</t>
        </is>
      </c>
      <c r="B190" t="inlineStr">
        <is>
          <t>GB-1001815-M107-02</t>
        </is>
      </c>
      <c r="C190" t="inlineStr">
        <is>
          <t>GB 100x18x15 PLF 3070 NW P1Y + HOLES</t>
        </is>
      </c>
      <c r="D190" t="n">
        <v>3</v>
      </c>
      <c r="E190" t="inlineStr">
        <is>
          <t>100X18X15</t>
        </is>
      </c>
      <c r="F190" t="inlineStr">
        <is>
          <t>PLF 3070</t>
        </is>
      </c>
      <c r="G190" t="inlineStr">
        <is>
          <t>NW</t>
        </is>
      </c>
      <c r="H190" t="inlineStr">
        <is>
          <t>P1Y</t>
        </is>
      </c>
      <c r="I190" t="inlineStr">
        <is>
          <t>HOLES</t>
        </is>
      </c>
      <c r="J190" t="inlineStr">
        <is>
          <t>N/A</t>
        </is>
      </c>
      <c r="K190" t="n">
        <v>6000</v>
      </c>
      <c r="L190" t="n">
        <v>6800</v>
      </c>
      <c r="M190" t="n">
        <v>7200</v>
      </c>
      <c r="N190" t="n">
        <v>7600</v>
      </c>
      <c r="O190" t="n">
        <v>7800</v>
      </c>
      <c r="P190" t="n">
        <v>8200</v>
      </c>
      <c r="Q190" t="n">
        <v>8600</v>
      </c>
      <c r="R190" t="n">
        <v>3.706989656722094</v>
      </c>
      <c r="S190" t="n">
        <v>3.82102470255861</v>
      </c>
      <c r="T190" t="n">
        <v>3.814689422234359</v>
      </c>
      <c r="U190" t="n">
        <v>3.809021013523187</v>
      </c>
      <c r="V190" t="n">
        <v>3.806404824887262</v>
      </c>
      <c r="W190" t="n">
        <v>3.801555304488961</v>
      </c>
      <c r="X190" t="n">
        <v>3.797156902267246</v>
      </c>
    </row>
    <row r="191">
      <c r="A191" t="inlineStr">
        <is>
          <t>100X15X12|PRO 8020|NW|P1Y|HOLES|N/A</t>
        </is>
      </c>
      <c r="B191" t="inlineStr">
        <is>
          <t>GB-1001512-M102-08</t>
        </is>
      </c>
      <c r="C191" t="inlineStr">
        <is>
          <t>GB 100x15x12 PRO 8020 NW P1Y + HOLES</t>
        </is>
      </c>
      <c r="D191" t="n">
        <v>2.1</v>
      </c>
      <c r="E191" t="inlineStr">
        <is>
          <t>100X15X12</t>
        </is>
      </c>
      <c r="F191" t="inlineStr">
        <is>
          <t>PRO 8020</t>
        </is>
      </c>
      <c r="G191" t="inlineStr">
        <is>
          <t>NW</t>
        </is>
      </c>
      <c r="H191" t="inlineStr">
        <is>
          <t>P1Y</t>
        </is>
      </c>
      <c r="I191" t="inlineStr">
        <is>
          <t>HOLES</t>
        </is>
      </c>
      <c r="J191" t="inlineStr">
        <is>
          <t>N/A</t>
        </is>
      </c>
      <c r="K191" t="n">
        <v>8600</v>
      </c>
      <c r="L191" t="n">
        <v>9800</v>
      </c>
      <c r="M191" t="n">
        <v>10200</v>
      </c>
      <c r="N191" t="n">
        <v>10800</v>
      </c>
      <c r="O191" t="n">
        <v>11200</v>
      </c>
      <c r="P191" t="n">
        <v>11800</v>
      </c>
      <c r="Q191" t="n">
        <v>12200</v>
      </c>
      <c r="R191" t="n">
        <v>2.529682663989063</v>
      </c>
      <c r="S191" t="n">
        <v>2.518641776779453</v>
      </c>
      <c r="T191" t="n">
        <v>2.515538782334921</v>
      </c>
      <c r="U191" t="n">
        <v>2.511315262118754</v>
      </c>
      <c r="V191" t="n">
        <v>2.50875098198751</v>
      </c>
      <c r="W191" t="n">
        <v>2.505230529603937</v>
      </c>
      <c r="X191" t="n">
        <v>2.503075935795412</v>
      </c>
    </row>
    <row r="192">
      <c r="A192" t="inlineStr">
        <is>
          <t>100X20X10|PRO 7030|NW|P1Y|HOLES|N/A</t>
        </is>
      </c>
      <c r="B192" t="inlineStr">
        <is>
          <t>GB-1002010-M103-03</t>
        </is>
      </c>
      <c r="C192" t="inlineStr">
        <is>
          <t>GB 100x20x10 PRO 7030 NW P1Y + HOLES</t>
        </is>
      </c>
      <c r="D192" t="n">
        <v>2.35</v>
      </c>
      <c r="E192" t="inlineStr">
        <is>
          <t>100X20X10</t>
        </is>
      </c>
      <c r="F192" t="inlineStr">
        <is>
          <t>PRO 7030</t>
        </is>
      </c>
      <c r="G192" t="inlineStr">
        <is>
          <t>NW</t>
        </is>
      </c>
      <c r="H192" t="inlineStr">
        <is>
          <t>P1Y</t>
        </is>
      </c>
      <c r="I192" t="inlineStr">
        <is>
          <t>HOLES</t>
        </is>
      </c>
      <c r="J192" t="inlineStr">
        <is>
          <t>N/A</t>
        </is>
      </c>
      <c r="K192" t="n">
        <v>7600</v>
      </c>
      <c r="L192" t="n">
        <v>8800</v>
      </c>
      <c r="M192" t="n">
        <v>9200</v>
      </c>
      <c r="N192" t="n">
        <v>9600</v>
      </c>
      <c r="O192" t="n">
        <v>10000</v>
      </c>
      <c r="P192" t="n">
        <v>10400</v>
      </c>
      <c r="Q192" t="n">
        <v>10800</v>
      </c>
      <c r="R192" t="n">
        <v>2.8834601877811</v>
      </c>
      <c r="S192" t="n">
        <v>2.869546820944587</v>
      </c>
      <c r="T192" t="n">
        <v>2.865715603989605</v>
      </c>
      <c r="U192" t="n">
        <v>2.862203655114205</v>
      </c>
      <c r="V192" t="n">
        <v>2.858972662148837</v>
      </c>
      <c r="W192" t="n">
        <v>2.855990207103882</v>
      </c>
      <c r="X192" t="n">
        <v>2.85322867465485</v>
      </c>
    </row>
    <row r="193">
      <c r="A193" t="inlineStr">
        <is>
          <t>100X20X12|PRO 8020|NW|P1Y|HOLES|N/A</t>
        </is>
      </c>
      <c r="B193" t="inlineStr">
        <is>
          <t>GB-1002012-M102-05</t>
        </is>
      </c>
      <c r="C193" t="inlineStr">
        <is>
          <t>GB 100x20x12 PRO 8020 NW P1Y + HOLES</t>
        </is>
      </c>
      <c r="D193" t="n">
        <v>2.7</v>
      </c>
      <c r="E193" t="inlineStr">
        <is>
          <t>100X20X12</t>
        </is>
      </c>
      <c r="F193" t="inlineStr">
        <is>
          <t>PRO 8020</t>
        </is>
      </c>
      <c r="G193" t="inlineStr">
        <is>
          <t>NW</t>
        </is>
      </c>
      <c r="H193" t="inlineStr">
        <is>
          <t>P1Y</t>
        </is>
      </c>
      <c r="I193" t="inlineStr">
        <is>
          <t>HOLES</t>
        </is>
      </c>
      <c r="J193" t="inlineStr">
        <is>
          <t>N/A</t>
        </is>
      </c>
      <c r="K193" t="n">
        <v>6600</v>
      </c>
      <c r="L193" t="n">
        <v>7600</v>
      </c>
      <c r="M193" t="n">
        <v>8000</v>
      </c>
      <c r="N193" t="n">
        <v>8400</v>
      </c>
      <c r="O193" t="n">
        <v>8800</v>
      </c>
      <c r="P193" t="n">
        <v>9000</v>
      </c>
      <c r="Q193" t="n">
        <v>9400</v>
      </c>
      <c r="R193" t="n">
        <v>3.126766556332792</v>
      </c>
      <c r="S193" t="n">
        <v>3.111307259847778</v>
      </c>
      <c r="T193" t="n">
        <v>3.106205692007723</v>
      </c>
      <c r="U193" t="n">
        <v>3.101589987771483</v>
      </c>
      <c r="V193" t="n">
        <v>3.097393893011265</v>
      </c>
      <c r="W193" t="n">
        <v>3.095435715456496</v>
      </c>
      <c r="X193" t="n">
        <v>3.091769340460334</v>
      </c>
    </row>
    <row r="194">
      <c r="A194" t="inlineStr">
        <is>
          <t>100X20X12|16MM|NW|P1Y|N/A|N/A</t>
        </is>
      </c>
      <c r="B194" t="inlineStr">
        <is>
          <t>GB-1002012-M343-01</t>
        </is>
      </c>
      <c r="C194" t="inlineStr">
        <is>
          <t>GB 100x20x12 16mm (2cm)+BOTTOM LAYER 10C NW P1Y +</t>
        </is>
      </c>
      <c r="D194" t="n">
        <v>2.703</v>
      </c>
      <c r="E194" t="inlineStr">
        <is>
          <t>100X20X12</t>
        </is>
      </c>
      <c r="F194" t="inlineStr">
        <is>
          <t>16MM</t>
        </is>
      </c>
      <c r="G194" t="inlineStr">
        <is>
          <t>NW</t>
        </is>
      </c>
      <c r="H194" t="inlineStr">
        <is>
          <t>P1Y</t>
        </is>
      </c>
      <c r="I194" t="inlineStr">
        <is>
          <t>N/A</t>
        </is>
      </c>
      <c r="J194" t="inlineStr">
        <is>
          <t>N/A</t>
        </is>
      </c>
      <c r="K194" t="n">
        <v>6600</v>
      </c>
      <c r="L194" t="n">
        <v>7600</v>
      </c>
      <c r="M194" t="n">
        <v>8000</v>
      </c>
      <c r="N194" t="n">
        <v>8400</v>
      </c>
      <c r="O194" t="n">
        <v>8800</v>
      </c>
      <c r="P194" t="n">
        <v>9000</v>
      </c>
      <c r="Q194" t="n">
        <v>9400</v>
      </c>
      <c r="R194" t="n">
        <v>3.30065502217189</v>
      </c>
      <c r="S194" t="n">
        <v>3.285195725686876</v>
      </c>
      <c r="T194" t="n">
        <v>3.280094157846821</v>
      </c>
      <c r="U194" t="n">
        <v>3.275478453610581</v>
      </c>
      <c r="V194" t="n">
        <v>3.271282358850363</v>
      </c>
      <c r="W194" t="n">
        <v>3.269324181295595</v>
      </c>
      <c r="X194" t="n">
        <v>3.265657806299433</v>
      </c>
    </row>
    <row r="195">
      <c r="A195" t="inlineStr">
        <is>
          <t>100X18X10|PRO 7030|NW|P1Y|HOLES|N/A</t>
        </is>
      </c>
      <c r="B195" t="inlineStr">
        <is>
          <t>GB-1001810-M103-03</t>
        </is>
      </c>
      <c r="C195" t="inlineStr">
        <is>
          <t>GB 100x18x10 PRO 7030 NW P1Y + HOLES</t>
        </is>
      </c>
      <c r="D195" t="n">
        <v>2.1</v>
      </c>
      <c r="E195" t="inlineStr">
        <is>
          <t>100X18X10</t>
        </is>
      </c>
      <c r="F195" t="inlineStr">
        <is>
          <t>PRO 7030</t>
        </is>
      </c>
      <c r="G195" t="inlineStr">
        <is>
          <t>NW</t>
        </is>
      </c>
      <c r="H195" t="inlineStr">
        <is>
          <t>P1Y</t>
        </is>
      </c>
      <c r="I195" t="inlineStr">
        <is>
          <t>HOLES</t>
        </is>
      </c>
      <c r="J195" t="inlineStr">
        <is>
          <t>N/A</t>
        </is>
      </c>
      <c r="K195" t="n">
        <v>8600</v>
      </c>
      <c r="L195" t="n">
        <v>9800</v>
      </c>
      <c r="M195" t="n">
        <v>10200</v>
      </c>
      <c r="N195" t="n">
        <v>10800</v>
      </c>
      <c r="O195" t="n">
        <v>11200</v>
      </c>
      <c r="P195" t="n">
        <v>11800</v>
      </c>
      <c r="Q195" t="n">
        <v>12200</v>
      </c>
      <c r="R195" t="n">
        <v>2.584483670366748</v>
      </c>
      <c r="S195" t="n">
        <v>2.573442783157138</v>
      </c>
      <c r="T195" t="n">
        <v>2.570339788712606</v>
      </c>
      <c r="U195" t="n">
        <v>2.566116268496439</v>
      </c>
      <c r="V195" t="n">
        <v>2.563551988365195</v>
      </c>
      <c r="W195" t="n">
        <v>2.560031535981622</v>
      </c>
      <c r="X195" t="n">
        <v>2.557876942173096</v>
      </c>
    </row>
    <row r="196">
      <c r="A196" t="inlineStr">
        <is>
          <t>100X18X16|PLF 3070|NW|P2Y|HOLES|BSU</t>
        </is>
      </c>
      <c r="B196" t="inlineStr">
        <is>
          <t>GB-1001816-M107-27</t>
        </is>
      </c>
      <c r="C196" t="inlineStr">
        <is>
          <t>GB 100x18x16 PLF 3070 NW BSU P2Y + HOLES</t>
        </is>
      </c>
      <c r="D196" t="n">
        <v>3</v>
      </c>
      <c r="E196" t="inlineStr">
        <is>
          <t>100X18X16</t>
        </is>
      </c>
      <c r="F196" t="inlineStr">
        <is>
          <t>PLF 3070</t>
        </is>
      </c>
      <c r="G196" t="inlineStr">
        <is>
          <t>NW</t>
        </is>
      </c>
      <c r="H196" t="inlineStr">
        <is>
          <t>P2Y</t>
        </is>
      </c>
      <c r="I196" t="inlineStr">
        <is>
          <t>HOLES</t>
        </is>
      </c>
      <c r="J196" t="inlineStr">
        <is>
          <t>BSU</t>
        </is>
      </c>
      <c r="K196" t="n">
        <v>6000</v>
      </c>
      <c r="L196" t="n">
        <v>6800</v>
      </c>
      <c r="M196" t="n">
        <v>7200</v>
      </c>
      <c r="N196" t="n">
        <v>7600</v>
      </c>
      <c r="O196" t="n">
        <v>7800</v>
      </c>
      <c r="P196" t="n">
        <v>8200</v>
      </c>
      <c r="Q196" t="n">
        <v>8600</v>
      </c>
      <c r="R196" t="n">
        <v>3.893162070715074</v>
      </c>
      <c r="S196" t="n">
        <v>3.877957397936872</v>
      </c>
      <c r="T196" t="n">
        <v>3.871622117612621</v>
      </c>
      <c r="U196" t="n">
        <v>3.865953708901449</v>
      </c>
      <c r="V196" t="n">
        <v>3.863337520265524</v>
      </c>
      <c r="W196" t="n">
        <v>3.858487999867223</v>
      </c>
      <c r="X196" t="n">
        <v>3.854089597645508</v>
      </c>
    </row>
    <row r="197">
      <c r="A197" t="inlineStr">
        <is>
          <t>100X15X12|PRO 6040|NW|P2Y|HOLES|N/A</t>
        </is>
      </c>
      <c r="B197" t="inlineStr">
        <is>
          <t>GB-1001512-M104-11</t>
        </is>
      </c>
      <c r="C197" t="inlineStr">
        <is>
          <t>GB 100x15x12 PRO 6040 NW P2Y+HOLES</t>
        </is>
      </c>
      <c r="D197" t="n">
        <v>2.05</v>
      </c>
      <c r="E197" t="inlineStr">
        <is>
          <t>100X15X12</t>
        </is>
      </c>
      <c r="F197" t="inlineStr">
        <is>
          <t>PRO 6040</t>
        </is>
      </c>
      <c r="G197" t="inlineStr">
        <is>
          <t>NW</t>
        </is>
      </c>
      <c r="H197" t="inlineStr">
        <is>
          <t>P2Y</t>
        </is>
      </c>
      <c r="I197" t="inlineStr">
        <is>
          <t>HOLES</t>
        </is>
      </c>
      <c r="J197" t="inlineStr">
        <is>
          <t>N/A</t>
        </is>
      </c>
      <c r="K197" t="n">
        <v>8800</v>
      </c>
      <c r="L197" t="n">
        <v>10000</v>
      </c>
      <c r="M197" t="n">
        <v>10600</v>
      </c>
      <c r="N197" t="n">
        <v>11000</v>
      </c>
      <c r="O197" t="n">
        <v>11600</v>
      </c>
      <c r="P197" t="n">
        <v>12000</v>
      </c>
      <c r="Q197" t="n">
        <v>12400</v>
      </c>
      <c r="R197" t="n">
        <v>2.642776472105018</v>
      </c>
      <c r="S197" t="n">
        <v>2.632202313309268</v>
      </c>
      <c r="T197" t="n">
        <v>2.627813039846881</v>
      </c>
      <c r="U197" t="n">
        <v>2.625152874112102</v>
      </c>
      <c r="V197" t="n">
        <v>2.621506612458394</v>
      </c>
      <c r="W197" t="n">
        <v>2.619278341447796</v>
      </c>
      <c r="X197" t="n">
        <v>2.617193829857237</v>
      </c>
    </row>
    <row r="198">
      <c r="A198" t="inlineStr">
        <is>
          <t>100X16X15|PLF 3070|NW|P1Y|HOLES|N/A</t>
        </is>
      </c>
      <c r="B198" t="inlineStr">
        <is>
          <t>GB-1001615-M107-03</t>
        </is>
      </c>
      <c r="C198" t="inlineStr">
        <is>
          <t>GB 100x16x15 PLF 3070 NW P1Y + HOLES</t>
        </is>
      </c>
      <c r="D198" t="n">
        <v>2.775</v>
      </c>
      <c r="E198" t="inlineStr">
        <is>
          <t>100X16X15</t>
        </is>
      </c>
      <c r="F198" t="inlineStr">
        <is>
          <t>PLF 3070</t>
        </is>
      </c>
      <c r="G198" t="inlineStr">
        <is>
          <t>NW</t>
        </is>
      </c>
      <c r="H198" t="inlineStr">
        <is>
          <t>P1Y</t>
        </is>
      </c>
      <c r="I198" t="inlineStr">
        <is>
          <t>HOLES</t>
        </is>
      </c>
      <c r="J198" t="inlineStr">
        <is>
          <t>N/A</t>
        </is>
      </c>
      <c r="K198" t="n">
        <v>6480</v>
      </c>
      <c r="L198" t="n">
        <v>7440</v>
      </c>
      <c r="M198" t="n">
        <v>7680</v>
      </c>
      <c r="N198" t="n">
        <v>8160</v>
      </c>
      <c r="O198" t="n">
        <v>8400</v>
      </c>
      <c r="P198" t="n">
        <v>8880</v>
      </c>
      <c r="Q198" t="n">
        <v>9120</v>
      </c>
      <c r="R198" t="n">
        <v>3.32562508907163</v>
      </c>
      <c r="S198" t="n">
        <v>3.429850668599629</v>
      </c>
      <c r="T198" t="n">
        <v>3.426593619239379</v>
      </c>
      <c r="U198" t="n">
        <v>3.420654293935394</v>
      </c>
      <c r="V198" t="n">
        <v>3.417939173796428</v>
      </c>
      <c r="W198" t="n">
        <v>3.412949223270764</v>
      </c>
      <c r="X198" t="n">
        <v>3.410651219739208</v>
      </c>
    </row>
    <row r="199">
      <c r="A199" t="inlineStr">
        <is>
          <t>100X15X10|PRO 6040|NW|P1Y|HOLES|N/A</t>
        </is>
      </c>
      <c r="B199" t="inlineStr">
        <is>
          <t>GB-1001510-M104-04</t>
        </is>
      </c>
      <c r="C199" t="inlineStr">
        <is>
          <t>GB 100x15x10 PRO 6040 NW P1Y+HOLES</t>
        </is>
      </c>
      <c r="D199" t="n">
        <v>1.784</v>
      </c>
      <c r="E199" t="inlineStr">
        <is>
          <t>100X15X10</t>
        </is>
      </c>
      <c r="F199" t="inlineStr">
        <is>
          <t>PRO 6040</t>
        </is>
      </c>
      <c r="G199" t="inlineStr">
        <is>
          <t>NW</t>
        </is>
      </c>
      <c r="H199" t="inlineStr">
        <is>
          <t>P1Y</t>
        </is>
      </c>
      <c r="I199" t="inlineStr">
        <is>
          <t>HOLES</t>
        </is>
      </c>
      <c r="J199" t="inlineStr">
        <is>
          <t>N/A</t>
        </is>
      </c>
      <c r="K199" t="n">
        <v>10200</v>
      </c>
      <c r="L199" t="n">
        <v>11600</v>
      </c>
      <c r="M199" t="n">
        <v>12200</v>
      </c>
      <c r="N199" t="n">
        <v>12600</v>
      </c>
      <c r="O199" t="n">
        <v>13200</v>
      </c>
      <c r="P199" t="n">
        <v>13800</v>
      </c>
      <c r="Q199" t="n">
        <v>14400</v>
      </c>
      <c r="R199" t="n">
        <v>2.319867566918256</v>
      </c>
      <c r="S199" t="n">
        <v>2.310692333345203</v>
      </c>
      <c r="T199" t="n">
        <v>2.307404720378746</v>
      </c>
      <c r="U199" t="n">
        <v>2.305386926177111</v>
      </c>
      <c r="V199" t="n">
        <v>2.302589529670299</v>
      </c>
      <c r="W199" t="n">
        <v>2.300035385033644</v>
      </c>
      <c r="X199" t="n">
        <v>2.297694085783378</v>
      </c>
    </row>
    <row r="200">
      <c r="A200" t="inlineStr">
        <is>
          <t>100X1X2|PRO 4060|NW|P2Y|HOLES|N/A</t>
        </is>
      </c>
      <c r="B200" t="inlineStr">
        <is>
          <t>GB-1001212-M106-01</t>
        </is>
      </c>
      <c r="C200" t="inlineStr">
        <is>
          <t>GB 100x1x2x12 PRO 4060 NW P2Y + HOLES</t>
        </is>
      </c>
      <c r="D200" t="n">
        <v>1.662</v>
      </c>
      <c r="E200" t="inlineStr">
        <is>
          <t>100X1X2</t>
        </is>
      </c>
      <c r="F200" t="inlineStr">
        <is>
          <t>PRO 4060</t>
        </is>
      </c>
      <c r="G200" t="inlineStr">
        <is>
          <t>NW</t>
        </is>
      </c>
      <c r="H200" t="inlineStr">
        <is>
          <t>P2Y</t>
        </is>
      </c>
      <c r="I200" t="inlineStr">
        <is>
          <t>HOLES</t>
        </is>
      </c>
      <c r="J200" t="inlineStr">
        <is>
          <t>N/A</t>
        </is>
      </c>
      <c r="K200" t="n">
        <v>11000</v>
      </c>
      <c r="L200" t="n">
        <v>12400</v>
      </c>
      <c r="M200" t="n">
        <v>13000</v>
      </c>
      <c r="N200" t="n">
        <v>13600</v>
      </c>
      <c r="O200" t="n">
        <v>14200</v>
      </c>
      <c r="P200" t="n">
        <v>14800</v>
      </c>
      <c r="Q200" t="n">
        <v>15400</v>
      </c>
      <c r="R200" t="n">
        <v>2.475400008200789</v>
      </c>
      <c r="S200" t="n">
        <v>2.467440963945923</v>
      </c>
      <c r="T200" t="n">
        <v>2.464554717128224</v>
      </c>
      <c r="U200" t="n">
        <v>2.461923139147382</v>
      </c>
      <c r="V200" t="n">
        <v>2.45951394803816</v>
      </c>
      <c r="W200" t="n">
        <v>2.457300096748604</v>
      </c>
      <c r="X200" t="n">
        <v>2.455258753351742</v>
      </c>
    </row>
    <row r="201">
      <c r="A201" t="inlineStr">
        <is>
          <t>100X20X12|PLF 3070|NW|P2Y|HOLES|N/A</t>
        </is>
      </c>
      <c r="B201" t="inlineStr">
        <is>
          <t>GB-1002012-M107-05</t>
        </is>
      </c>
      <c r="C201" t="inlineStr">
        <is>
          <t>GB 100x20x12 PLF 3070 NW P2Y+HOLES</t>
        </is>
      </c>
      <c r="D201" t="n">
        <v>2.65</v>
      </c>
      <c r="E201" t="inlineStr">
        <is>
          <t>100X20X12</t>
        </is>
      </c>
      <c r="F201" t="inlineStr">
        <is>
          <t>PLF 3070</t>
        </is>
      </c>
      <c r="G201" t="inlineStr">
        <is>
          <t>NW</t>
        </is>
      </c>
      <c r="H201" t="inlineStr">
        <is>
          <t>P2Y</t>
        </is>
      </c>
      <c r="I201" t="inlineStr">
        <is>
          <t>HOLES</t>
        </is>
      </c>
      <c r="J201" t="inlineStr">
        <is>
          <t>N/A</t>
        </is>
      </c>
      <c r="K201" t="n">
        <v>6800</v>
      </c>
      <c r="L201" t="n">
        <v>7800</v>
      </c>
      <c r="M201" t="n">
        <v>8200</v>
      </c>
      <c r="N201" t="n">
        <v>8600</v>
      </c>
      <c r="O201" t="n">
        <v>8800</v>
      </c>
      <c r="P201" t="n">
        <v>9200</v>
      </c>
      <c r="Q201" t="n">
        <v>9600</v>
      </c>
      <c r="R201" t="n">
        <v>3.51411525375803</v>
      </c>
      <c r="S201" t="n">
        <v>3.499495376086682</v>
      </c>
      <c r="T201" t="n">
        <v>3.494645855688381</v>
      </c>
      <c r="U201" t="n">
        <v>3.490247453466666</v>
      </c>
      <c r="V201" t="n">
        <v>3.488198197886094</v>
      </c>
      <c r="W201" t="n">
        <v>3.484366980931112</v>
      </c>
      <c r="X201" t="n">
        <v>3.480855032055712</v>
      </c>
    </row>
    <row r="202">
      <c r="A202" t="inlineStr">
        <is>
          <t>100X15X10|PLF 3070|NW|P2Y|HOLES|N/A</t>
        </is>
      </c>
      <c r="B202" t="inlineStr">
        <is>
          <t>GB-1001510-M107-04</t>
        </is>
      </c>
      <c r="C202" t="inlineStr">
        <is>
          <t>GB 100x15x10 PLF 3070 NW P2Y + HOLES</t>
        </is>
      </c>
      <c r="D202" t="n">
        <v>1.65</v>
      </c>
      <c r="E202" t="inlineStr">
        <is>
          <t>100X15X10</t>
        </is>
      </c>
      <c r="F202" t="inlineStr">
        <is>
          <t>PLF 3070</t>
        </is>
      </c>
      <c r="G202" t="inlineStr">
        <is>
          <t>NW</t>
        </is>
      </c>
      <c r="H202" t="inlineStr">
        <is>
          <t>P2Y</t>
        </is>
      </c>
      <c r="I202" t="inlineStr">
        <is>
          <t>HOLES</t>
        </is>
      </c>
      <c r="J202" t="inlineStr">
        <is>
          <t>N/A</t>
        </is>
      </c>
      <c r="K202" t="n">
        <v>11000</v>
      </c>
      <c r="L202" t="n">
        <v>12600</v>
      </c>
      <c r="M202" t="n">
        <v>13200</v>
      </c>
      <c r="N202" t="n">
        <v>13800</v>
      </c>
      <c r="O202" t="n">
        <v>14400</v>
      </c>
      <c r="P202" t="n">
        <v>15000</v>
      </c>
      <c r="Q202" t="n">
        <v>15600</v>
      </c>
      <c r="R202" t="n">
        <v>2.28456043982635</v>
      </c>
      <c r="S202" t="n">
        <v>2.275608771004552</v>
      </c>
      <c r="T202" t="n">
        <v>2.272811374497739</v>
      </c>
      <c r="U202" t="n">
        <v>2.270257229861085</v>
      </c>
      <c r="V202" t="n">
        <v>2.267915930610818</v>
      </c>
      <c r="W202" t="n">
        <v>2.265761935300573</v>
      </c>
      <c r="X202" t="n">
        <v>2.26377363193727</v>
      </c>
    </row>
    <row r="203">
      <c r="A203" t="inlineStr">
        <is>
          <t>100X18X16|PLF 3070|NW|P3Y|HOLES|N/A</t>
        </is>
      </c>
      <c r="B203" t="inlineStr">
        <is>
          <t>GB-1001816-M107-28</t>
        </is>
      </c>
      <c r="C203" t="inlineStr">
        <is>
          <t>GB 100x18x16 PLF 3070 NW P3Y + HOLES</t>
        </is>
      </c>
      <c r="D203" t="n">
        <v>3</v>
      </c>
      <c r="E203" t="inlineStr">
        <is>
          <t>100X18X16</t>
        </is>
      </c>
      <c r="F203" t="inlineStr">
        <is>
          <t>PLF 3070</t>
        </is>
      </c>
      <c r="G203" t="inlineStr">
        <is>
          <t>NW</t>
        </is>
      </c>
      <c r="H203" t="inlineStr">
        <is>
          <t>P3Y</t>
        </is>
      </c>
      <c r="I203" t="inlineStr">
        <is>
          <t>HOLES</t>
        </is>
      </c>
      <c r="J203" t="inlineStr">
        <is>
          <t>N/A</t>
        </is>
      </c>
      <c r="K203" t="n">
        <v>6000</v>
      </c>
      <c r="L203" t="n">
        <v>6800</v>
      </c>
      <c r="M203" t="n">
        <v>7200</v>
      </c>
      <c r="N203" t="n">
        <v>7600</v>
      </c>
      <c r="O203" t="n">
        <v>7800</v>
      </c>
      <c r="P203" t="n">
        <v>8200</v>
      </c>
      <c r="Q203" t="n">
        <v>8600</v>
      </c>
      <c r="R203" t="n">
        <v>3.930438369416373</v>
      </c>
      <c r="S203" t="n">
        <v>3.915233696638171</v>
      </c>
      <c r="T203" t="n">
        <v>3.90889841631392</v>
      </c>
      <c r="U203" t="n">
        <v>3.903230007602748</v>
      </c>
      <c r="V203" t="n">
        <v>3.900613818966823</v>
      </c>
      <c r="W203" t="n">
        <v>3.895764298568522</v>
      </c>
      <c r="X203" t="n">
        <v>3.891365896346807</v>
      </c>
    </row>
    <row r="204">
      <c r="A204" t="inlineStr">
        <is>
          <t>100X18X16|PLF 3070|NW|P3Y|N/A|N/A</t>
        </is>
      </c>
      <c r="B204" t="inlineStr">
        <is>
          <t>GB-1001816-M107-29</t>
        </is>
      </c>
      <c r="C204" t="inlineStr">
        <is>
          <t>GB 100x18x16 PLF 3070 NW P3Y</t>
        </is>
      </c>
      <c r="D204" t="n">
        <v>3</v>
      </c>
      <c r="E204" t="inlineStr">
        <is>
          <t>100X18X16</t>
        </is>
      </c>
      <c r="F204" t="inlineStr">
        <is>
          <t>PLF 3070</t>
        </is>
      </c>
      <c r="G204" t="inlineStr">
        <is>
          <t>NW</t>
        </is>
      </c>
      <c r="H204" t="inlineStr">
        <is>
          <t>P3Y</t>
        </is>
      </c>
      <c r="I204" t="inlineStr">
        <is>
          <t>N/A</t>
        </is>
      </c>
      <c r="J204" t="inlineStr">
        <is>
          <t>N/A</t>
        </is>
      </c>
      <c r="K204" t="n">
        <v>6000</v>
      </c>
      <c r="L204" t="n">
        <v>6800</v>
      </c>
      <c r="M204" t="n">
        <v>7200</v>
      </c>
      <c r="N204" t="n">
        <v>7600</v>
      </c>
      <c r="O204" t="n">
        <v>7800</v>
      </c>
      <c r="P204" t="n">
        <v>8200</v>
      </c>
      <c r="Q204" t="n">
        <v>8600</v>
      </c>
      <c r="R204" t="n">
        <v>3.930438369416373</v>
      </c>
      <c r="S204" t="n">
        <v>3.915233696638171</v>
      </c>
      <c r="T204" t="n">
        <v>3.90889841631392</v>
      </c>
      <c r="U204" t="n">
        <v>3.903230007602748</v>
      </c>
      <c r="V204" t="n">
        <v>3.900613818966823</v>
      </c>
      <c r="W204" t="n">
        <v>3.895764298568522</v>
      </c>
      <c r="X204" t="n">
        <v>3.891365896346807</v>
      </c>
    </row>
    <row r="205">
      <c r="A205" t="inlineStr">
        <is>
          <t>100X18X14|16MM|NW|P3Y|HOLES|N/A</t>
        </is>
      </c>
      <c r="B205" t="inlineStr">
        <is>
          <t>GB-1001814-M003-22</t>
        </is>
      </c>
      <c r="C205" t="inlineStr">
        <is>
          <t>GB 100x18x14 16mm NW P3Y + HOLES (SP)</t>
        </is>
      </c>
      <c r="D205" t="n">
        <v>2.75</v>
      </c>
      <c r="E205" t="inlineStr">
        <is>
          <t>100X18X14</t>
        </is>
      </c>
      <c r="F205" t="inlineStr">
        <is>
          <t>16MM</t>
        </is>
      </c>
      <c r="G205" t="inlineStr">
        <is>
          <t>NW</t>
        </is>
      </c>
      <c r="H205" t="inlineStr">
        <is>
          <t>P3Y</t>
        </is>
      </c>
      <c r="I205" t="inlineStr">
        <is>
          <t>HOLES</t>
        </is>
      </c>
      <c r="J205" t="inlineStr">
        <is>
          <t>N/A</t>
        </is>
      </c>
      <c r="K205" t="n">
        <v>6600</v>
      </c>
      <c r="L205" t="n">
        <v>7400</v>
      </c>
      <c r="M205" t="n">
        <v>7800</v>
      </c>
      <c r="N205" t="n">
        <v>8200</v>
      </c>
      <c r="O205" t="n">
        <v>8600</v>
      </c>
      <c r="P205" t="n">
        <v>9000</v>
      </c>
      <c r="Q205" t="n">
        <v>9200</v>
      </c>
      <c r="R205" t="n">
        <v>4.679010929519417</v>
      </c>
      <c r="S205" t="n">
        <v>4.66630923727227</v>
      </c>
      <c r="T205" t="n">
        <v>4.660935444398477</v>
      </c>
      <c r="U205" t="n">
        <v>4.656085924000177</v>
      </c>
      <c r="V205" t="n">
        <v>4.651687521778462</v>
      </c>
      <c r="W205" t="n">
        <v>4.647680088643121</v>
      </c>
      <c r="X205" t="n">
        <v>4.645807049242908</v>
      </c>
    </row>
    <row r="206">
      <c r="A206" t="inlineStr">
        <is>
          <t>100X20X12|PRO 7030|NW|P1Y|HOLES|N/A</t>
        </is>
      </c>
      <c r="B206" t="inlineStr">
        <is>
          <t>GB-1002012-M103-04</t>
        </is>
      </c>
      <c r="C206" t="inlineStr">
        <is>
          <t>GB 100x20x12 PRO 7030 NW P1Y + HOLES</t>
        </is>
      </c>
      <c r="D206" t="n">
        <v>2.7</v>
      </c>
      <c r="E206" t="inlineStr">
        <is>
          <t>100X20X12</t>
        </is>
      </c>
      <c r="F206" t="inlineStr">
        <is>
          <t>PRO 7030</t>
        </is>
      </c>
      <c r="G206" t="inlineStr">
        <is>
          <t>NW</t>
        </is>
      </c>
      <c r="H206" t="inlineStr">
        <is>
          <t>P1Y</t>
        </is>
      </c>
      <c r="I206" t="inlineStr">
        <is>
          <t>HOLES</t>
        </is>
      </c>
      <c r="J206" t="inlineStr">
        <is>
          <t>N/A</t>
        </is>
      </c>
      <c r="K206" t="n">
        <v>6600</v>
      </c>
      <c r="L206" t="n">
        <v>7600</v>
      </c>
      <c r="M206" t="n">
        <v>8000</v>
      </c>
      <c r="N206" t="n">
        <v>8400</v>
      </c>
      <c r="O206" t="n">
        <v>8800</v>
      </c>
      <c r="P206" t="n">
        <v>9000</v>
      </c>
      <c r="Q206" t="n">
        <v>9400</v>
      </c>
      <c r="R206" t="n">
        <v>3.313814507944222</v>
      </c>
      <c r="S206" t="n">
        <v>3.298355211459208</v>
      </c>
      <c r="T206" t="n">
        <v>3.293253643619153</v>
      </c>
      <c r="U206" t="n">
        <v>3.288637939382913</v>
      </c>
      <c r="V206" t="n">
        <v>3.284441844622695</v>
      </c>
      <c r="W206" t="n">
        <v>3.282483667067926</v>
      </c>
      <c r="X206" t="n">
        <v>3.278817292071764</v>
      </c>
    </row>
    <row r="207">
      <c r="A207" t="inlineStr">
        <is>
          <t>100X18X16|PLF 3070|NW|P2Y|HOLES|N/A</t>
        </is>
      </c>
      <c r="B207" t="inlineStr">
        <is>
          <t>GB-1001816-M107-25</t>
        </is>
      </c>
      <c r="C207" t="inlineStr">
        <is>
          <t>GB 100x18x16 PLF 3070 NW P2Y + HOLES (SP)</t>
        </is>
      </c>
      <c r="D207" t="n">
        <v>3</v>
      </c>
      <c r="E207" t="inlineStr">
        <is>
          <t>100X18X16</t>
        </is>
      </c>
      <c r="F207" t="inlineStr">
        <is>
          <t>PLF 3070</t>
        </is>
      </c>
      <c r="G207" t="inlineStr">
        <is>
          <t>NW</t>
        </is>
      </c>
      <c r="H207" t="inlineStr">
        <is>
          <t>P2Y</t>
        </is>
      </c>
      <c r="I207" t="inlineStr">
        <is>
          <t>HOLES</t>
        </is>
      </c>
      <c r="J207" t="inlineStr">
        <is>
          <t>N/A</t>
        </is>
      </c>
      <c r="K207" t="n">
        <v>6000</v>
      </c>
      <c r="L207" t="n">
        <v>6800</v>
      </c>
      <c r="M207" t="n">
        <v>7200</v>
      </c>
      <c r="N207" t="n">
        <v>7600</v>
      </c>
      <c r="O207" t="n">
        <v>7800</v>
      </c>
      <c r="P207" t="n">
        <v>8200</v>
      </c>
      <c r="Q207" t="n">
        <v>8600</v>
      </c>
      <c r="R207" t="n">
        <v>3.880663743775495</v>
      </c>
      <c r="S207" t="n">
        <v>3.865459070997293</v>
      </c>
      <c r="T207" t="n">
        <v>3.859123790673042</v>
      </c>
      <c r="U207" t="n">
        <v>3.85345538196187</v>
      </c>
      <c r="V207" t="n">
        <v>3.850839193325945</v>
      </c>
      <c r="W207" t="n">
        <v>3.845989672927644</v>
      </c>
      <c r="X207" t="n">
        <v>3.841591270705929</v>
      </c>
    </row>
    <row r="208">
      <c r="A208" t="inlineStr">
        <is>
          <t>|PLF 3070|NW|P1Y|HOLES|N/A</t>
        </is>
      </c>
      <c r="B208" t="inlineStr">
        <is>
          <t>GB-1001814-M107-34</t>
        </is>
      </c>
      <c r="C208" t="inlineStr">
        <is>
          <t>GB  PLF 3070 NW P1Y + HOLES - 25.2L - EN</t>
        </is>
      </c>
      <c r="D208" t="n">
        <v>2.425696</v>
      </c>
      <c r="E208" t="inlineStr"/>
      <c r="F208" t="inlineStr">
        <is>
          <t>PLF 3070</t>
        </is>
      </c>
      <c r="G208" t="inlineStr">
        <is>
          <t>NW</t>
        </is>
      </c>
      <c r="H208" t="inlineStr">
        <is>
          <t>P1Y</t>
        </is>
      </c>
      <c r="I208" t="inlineStr">
        <is>
          <t>HOLES</t>
        </is>
      </c>
      <c r="J208" t="inlineStr">
        <is>
          <t>N/A</t>
        </is>
      </c>
      <c r="K208" t="n">
        <v>7400</v>
      </c>
      <c r="L208" t="n">
        <v>8400</v>
      </c>
      <c r="M208" t="n">
        <v>8800</v>
      </c>
      <c r="N208" t="n">
        <v>9200</v>
      </c>
      <c r="O208" t="n">
        <v>9800</v>
      </c>
      <c r="P208" t="n">
        <v>10200</v>
      </c>
      <c r="Q208" t="n">
        <v>10600</v>
      </c>
      <c r="R208" t="n">
        <v>3.135759454870604</v>
      </c>
      <c r="S208" t="n">
        <v>3.123284578556442</v>
      </c>
      <c r="T208" t="n">
        <v>3.119088483796225</v>
      </c>
      <c r="U208" t="n">
        <v>3.115257266841243</v>
      </c>
      <c r="V208" t="n">
        <v>3.110096852167186</v>
      </c>
      <c r="W208" t="n">
        <v>3.106993857722654</v>
      </c>
      <c r="X208" t="n">
        <v>3.104125051538088</v>
      </c>
    </row>
    <row r="209">
      <c r="A209" t="inlineStr">
        <is>
          <t>|PLF 3070|NW|P1Y|HOLES|N/A</t>
        </is>
      </c>
      <c r="B209" t="inlineStr">
        <is>
          <t>GB-1001816-M107-30</t>
        </is>
      </c>
      <c r="C209" t="inlineStr">
        <is>
          <t>GB PLF 3070 NW P1Y + HOLES - 28.8L - EN</t>
        </is>
      </c>
      <c r="D209" t="n">
        <v>2.75</v>
      </c>
      <c r="E209" t="inlineStr"/>
      <c r="F209" t="inlineStr">
        <is>
          <t>PLF 3070</t>
        </is>
      </c>
      <c r="G209" t="inlineStr">
        <is>
          <t>NW</t>
        </is>
      </c>
      <c r="H209" t="inlineStr">
        <is>
          <t>P1Y</t>
        </is>
      </c>
      <c r="I209" t="inlineStr">
        <is>
          <t>HOLES</t>
        </is>
      </c>
      <c r="J209" t="inlineStr">
        <is>
          <t>N/A</t>
        </is>
      </c>
      <c r="K209" t="n">
        <v>6600</v>
      </c>
      <c r="L209" t="n">
        <v>7400</v>
      </c>
      <c r="M209" t="n">
        <v>7800</v>
      </c>
      <c r="N209" t="n">
        <v>8200</v>
      </c>
      <c r="O209" t="n">
        <v>8600</v>
      </c>
      <c r="P209" t="n">
        <v>9000</v>
      </c>
      <c r="Q209" t="n">
        <v>9200</v>
      </c>
      <c r="R209" t="n">
        <v>3.512160268148917</v>
      </c>
      <c r="S209" t="n">
        <v>3.499458575901771</v>
      </c>
      <c r="T209" t="n">
        <v>3.494084783027978</v>
      </c>
      <c r="U209" t="n">
        <v>3.489235262629677</v>
      </c>
      <c r="V209" t="n">
        <v>3.484836860407962</v>
      </c>
      <c r="W209" t="n">
        <v>3.480829427272622</v>
      </c>
      <c r="X209" t="n">
        <v>3.478956387872409</v>
      </c>
    </row>
    <row r="210">
      <c r="A210" t="inlineStr">
        <is>
          <t>100X18X14|PLF 3070|NW|P2Y|HOLES|BSU</t>
        </is>
      </c>
      <c r="B210" t="inlineStr">
        <is>
          <t>GB-1001814-M107-35</t>
        </is>
      </c>
      <c r="C210" t="inlineStr">
        <is>
          <t>GB 100x18x14 PLF 3070 BSU NW P2Y+HOLES</t>
        </is>
      </c>
      <c r="D210" t="n">
        <v>2.7216</v>
      </c>
      <c r="E210" t="inlineStr">
        <is>
          <t>100X18X14</t>
        </is>
      </c>
      <c r="F210" t="inlineStr">
        <is>
          <t>PLF 3070</t>
        </is>
      </c>
      <c r="G210" t="inlineStr">
        <is>
          <t>NW</t>
        </is>
      </c>
      <c r="H210" t="inlineStr">
        <is>
          <t>P2Y</t>
        </is>
      </c>
      <c r="I210" t="inlineStr">
        <is>
          <t>HOLES</t>
        </is>
      </c>
      <c r="J210" t="inlineStr">
        <is>
          <t>BSU</t>
        </is>
      </c>
      <c r="K210" t="n">
        <v>6600</v>
      </c>
      <c r="L210" t="n">
        <v>7600</v>
      </c>
      <c r="M210" t="n">
        <v>8000</v>
      </c>
      <c r="N210" t="n">
        <v>8200</v>
      </c>
      <c r="O210" t="n">
        <v>8600</v>
      </c>
      <c r="P210" t="n">
        <v>9000</v>
      </c>
      <c r="Q210" t="n">
        <v>9400</v>
      </c>
      <c r="R210" t="n">
        <v>3.508739628247046</v>
      </c>
      <c r="S210" t="n">
        <v>3.493280331762032</v>
      </c>
      <c r="T210" t="n">
        <v>3.488178763921978</v>
      </c>
      <c r="U210" t="n">
        <v>3.485814622727806</v>
      </c>
      <c r="V210" t="n">
        <v>3.481416220506091</v>
      </c>
      <c r="W210" t="n">
        <v>3.477408787370751</v>
      </c>
      <c r="X210" t="n">
        <v>3.473742412374588</v>
      </c>
    </row>
    <row r="211">
      <c r="A211" t="inlineStr">
        <is>
          <t>100X18X14|PLF 3070|NW|P2Y|HOLES|BSU</t>
        </is>
      </c>
      <c r="B211" t="inlineStr">
        <is>
          <t>GB-1001814-M107-33</t>
        </is>
      </c>
      <c r="C211" t="inlineStr">
        <is>
          <t>GB 100x18x14 PLF 3070 BSU NW P2Y+HOLES</t>
        </is>
      </c>
      <c r="D211" t="n">
        <v>2.8</v>
      </c>
      <c r="E211" t="inlineStr">
        <is>
          <t>100X18X14</t>
        </is>
      </c>
      <c r="F211" t="inlineStr">
        <is>
          <t>PLF 3070</t>
        </is>
      </c>
      <c r="G211" t="inlineStr">
        <is>
          <t>NW</t>
        </is>
      </c>
      <c r="H211" t="inlineStr">
        <is>
          <t>P2Y</t>
        </is>
      </c>
      <c r="I211" t="inlineStr">
        <is>
          <t>HOLES</t>
        </is>
      </c>
      <c r="J211" t="inlineStr">
        <is>
          <t>BSU</t>
        </is>
      </c>
      <c r="K211" t="n">
        <v>6400</v>
      </c>
      <c r="L211" t="n">
        <v>7400</v>
      </c>
      <c r="M211" t="n">
        <v>7600</v>
      </c>
      <c r="N211" t="n">
        <v>8000</v>
      </c>
      <c r="O211" t="n">
        <v>8400</v>
      </c>
      <c r="P211" t="n">
        <v>8800</v>
      </c>
      <c r="Q211" t="n">
        <v>9200</v>
      </c>
      <c r="R211" t="n">
        <v>3.595387940461402</v>
      </c>
      <c r="S211" t="n">
        <v>3.579014665299064</v>
      </c>
      <c r="T211" t="n">
        <v>3.576257061061196</v>
      </c>
      <c r="U211" t="n">
        <v>3.571155493221142</v>
      </c>
      <c r="V211" t="n">
        <v>3.566539788984902</v>
      </c>
      <c r="W211" t="n">
        <v>3.562343694224684</v>
      </c>
      <c r="X211" t="n">
        <v>3.558512477269702</v>
      </c>
    </row>
    <row r="212">
      <c r="A212" t="inlineStr">
        <is>
          <t>100X18X14|16MM|NW|P1Y|HOLES|N/A</t>
        </is>
      </c>
      <c r="B212" t="inlineStr">
        <is>
          <t>GB-1001814-M003-23</t>
        </is>
      </c>
      <c r="C212" t="inlineStr">
        <is>
          <t>GB 100x18x14 16mm NW P1Y+HOLES – EN</t>
        </is>
      </c>
      <c r="D212" t="n">
        <v>2.332675462962963</v>
      </c>
      <c r="E212" t="inlineStr">
        <is>
          <t>100X18X14</t>
        </is>
      </c>
      <c r="F212" t="inlineStr">
        <is>
          <t>16MM</t>
        </is>
      </c>
      <c r="G212" t="inlineStr">
        <is>
          <t>NW</t>
        </is>
      </c>
      <c r="H212" t="inlineStr">
        <is>
          <t>P1Y</t>
        </is>
      </c>
      <c r="I212" t="inlineStr">
        <is>
          <t>HOLES</t>
        </is>
      </c>
      <c r="J212" t="inlineStr">
        <is>
          <t>N/A</t>
        </is>
      </c>
      <c r="K212" t="n">
        <v>7800</v>
      </c>
      <c r="L212" t="n">
        <v>8800</v>
      </c>
      <c r="M212" t="n">
        <v>9200</v>
      </c>
      <c r="N212" t="n">
        <v>9600</v>
      </c>
      <c r="O212" t="n">
        <v>10200</v>
      </c>
      <c r="P212" t="n">
        <v>10600</v>
      </c>
      <c r="Q212" t="n">
        <v>11000</v>
      </c>
      <c r="R212" t="n">
        <v>4.029324141100163</v>
      </c>
      <c r="S212" t="n">
        <v>4.018026962899576</v>
      </c>
      <c r="T212" t="n">
        <v>4.014195745944594</v>
      </c>
      <c r="U212" t="n">
        <v>4.010683797069194</v>
      </c>
      <c r="V212" t="n">
        <v>4.005932336826006</v>
      </c>
      <c r="W212" t="n">
        <v>4.003063530641439</v>
      </c>
      <c r="X212" t="n">
        <v>4.00040336490666</v>
      </c>
    </row>
    <row r="213">
      <c r="A213" t="inlineStr">
        <is>
          <t>|PLF 3070|NW|P3Y|HOLES|N/A</t>
        </is>
      </c>
      <c r="B213" t="inlineStr">
        <is>
          <t>GB-1001816-M107-31</t>
        </is>
      </c>
      <c r="C213" t="inlineStr">
        <is>
          <t>GB PLF 3070 NW P3Y + HOLES - 28.8L - EN</t>
        </is>
      </c>
      <c r="D213" t="n">
        <v>2.75</v>
      </c>
      <c r="E213" t="inlineStr"/>
      <c r="F213" t="inlineStr">
        <is>
          <t>PLF 3070</t>
        </is>
      </c>
      <c r="G213" t="inlineStr">
        <is>
          <t>NW</t>
        </is>
      </c>
      <c r="H213" t="inlineStr">
        <is>
          <t>P3Y</t>
        </is>
      </c>
      <c r="I213" t="inlineStr">
        <is>
          <t>HOLES</t>
        </is>
      </c>
      <c r="J213" t="inlineStr">
        <is>
          <t>N/A</t>
        </is>
      </c>
      <c r="K213" t="n">
        <v>6600</v>
      </c>
      <c r="L213" t="n">
        <v>7400</v>
      </c>
      <c r="M213" t="n">
        <v>7800</v>
      </c>
      <c r="N213" t="n">
        <v>8200</v>
      </c>
      <c r="O213" t="n">
        <v>8600</v>
      </c>
      <c r="P213" t="n">
        <v>9000</v>
      </c>
      <c r="Q213" t="n">
        <v>9200</v>
      </c>
      <c r="R213" t="n">
        <v>3.651946388278787</v>
      </c>
      <c r="S213" t="n">
        <v>3.639244696031641</v>
      </c>
      <c r="T213" t="n">
        <v>3.633870903157848</v>
      </c>
      <c r="U213" t="n">
        <v>3.629021382759547</v>
      </c>
      <c r="V213" t="n">
        <v>3.624622980537832</v>
      </c>
      <c r="W213" t="n">
        <v>3.620615547402493</v>
      </c>
      <c r="X213" t="n">
        <v>3.618742508002279</v>
      </c>
    </row>
    <row r="214">
      <c r="A214" t="inlineStr">
        <is>
          <t>100X18X16|16MM|NW|P1Y|HOLES|N/A</t>
        </is>
      </c>
      <c r="B214" t="inlineStr">
        <is>
          <t>GB-1001816-M003-43</t>
        </is>
      </c>
      <c r="C214" t="inlineStr">
        <is>
          <t>GB 100x18x16 16mm NW P1Y + HOLES - EN</t>
        </is>
      </c>
      <c r="D214" t="n">
        <v>2.691548611111111</v>
      </c>
      <c r="E214" t="inlineStr">
        <is>
          <t>100X18X16</t>
        </is>
      </c>
      <c r="F214" t="inlineStr">
        <is>
          <t>16MM</t>
        </is>
      </c>
      <c r="G214" t="inlineStr">
        <is>
          <t>NW</t>
        </is>
      </c>
      <c r="H214" t="inlineStr">
        <is>
          <t>P1Y</t>
        </is>
      </c>
      <c r="I214" t="inlineStr">
        <is>
          <t>HOLES</t>
        </is>
      </c>
      <c r="J214" t="inlineStr">
        <is>
          <t>N/A</t>
        </is>
      </c>
      <c r="K214" t="n">
        <v>6600</v>
      </c>
      <c r="L214" t="n">
        <v>7600</v>
      </c>
      <c r="M214" t="n">
        <v>8000</v>
      </c>
      <c r="N214" t="n">
        <v>8400</v>
      </c>
      <c r="O214" t="n">
        <v>8800</v>
      </c>
      <c r="P214" t="n">
        <v>9200</v>
      </c>
      <c r="Q214" t="n">
        <v>9400</v>
      </c>
      <c r="R214" t="n">
        <v>4.437254157867995</v>
      </c>
      <c r="S214" t="n">
        <v>4.421794861382981</v>
      </c>
      <c r="T214" t="n">
        <v>4.416693293542927</v>
      </c>
      <c r="U214" t="n">
        <v>4.412077589306685</v>
      </c>
      <c r="V214" t="n">
        <v>4.407881494546468</v>
      </c>
      <c r="W214" t="n">
        <v>4.404050277591486</v>
      </c>
      <c r="X214" t="n">
        <v>4.402256941995537</v>
      </c>
    </row>
    <row r="215">
      <c r="A215" t="inlineStr">
        <is>
          <t>100X18X15|PLF 3070|NW|P2Y|HOLES|BSU</t>
        </is>
      </c>
      <c r="B215" t="inlineStr">
        <is>
          <t>GB-1001815-M107-04</t>
        </is>
      </c>
      <c r="C215" t="inlineStr">
        <is>
          <t>GB 100x18x15 PLF 3070 NW BSU P2Y + HOLES</t>
        </is>
      </c>
      <c r="D215" t="n">
        <v>3.05</v>
      </c>
      <c r="E215" t="inlineStr">
        <is>
          <t>100X18X15</t>
        </is>
      </c>
      <c r="F215" t="inlineStr">
        <is>
          <t>PLF 3070</t>
        </is>
      </c>
      <c r="G215" t="inlineStr">
        <is>
          <t>NW</t>
        </is>
      </c>
      <c r="H215" t="inlineStr">
        <is>
          <t>P2Y</t>
        </is>
      </c>
      <c r="I215" t="inlineStr">
        <is>
          <t>HOLES</t>
        </is>
      </c>
      <c r="J215" t="inlineStr">
        <is>
          <t>BSU</t>
        </is>
      </c>
      <c r="K215" t="n">
        <v>6000</v>
      </c>
      <c r="L215" t="n">
        <v>6800</v>
      </c>
      <c r="M215" t="n">
        <v>7000</v>
      </c>
      <c r="N215" t="n">
        <v>7400</v>
      </c>
      <c r="O215" t="n">
        <v>7800</v>
      </c>
      <c r="P215" t="n">
        <v>8000</v>
      </c>
      <c r="Q215" t="n">
        <v>8400</v>
      </c>
      <c r="R215" t="n">
        <v>3.928740676992278</v>
      </c>
      <c r="S215" t="n">
        <v>3.913536004214075</v>
      </c>
      <c r="T215" t="n">
        <v>3.910277860047318</v>
      </c>
      <c r="U215" t="n">
        <v>3.904289919416521</v>
      </c>
      <c r="V215" t="n">
        <v>3.898916126542728</v>
      </c>
      <c r="W215" t="n">
        <v>3.896430747338598</v>
      </c>
      <c r="X215" t="n">
        <v>3.891815043102357</v>
      </c>
    </row>
    <row r="216">
      <c r="A216" t="inlineStr">
        <is>
          <t>100X15X16|PLF 3070|NW|P2Y|HOLES|BSU</t>
        </is>
      </c>
      <c r="B216" t="inlineStr">
        <is>
          <t>GB-1001516-M107-02</t>
        </is>
      </c>
      <c r="C216" t="inlineStr">
        <is>
          <t>GB 100x15x16 PLF 3070 NW P2Y BSU + HOLES</t>
        </is>
      </c>
      <c r="D216" t="n">
        <v>2.52</v>
      </c>
      <c r="E216" t="inlineStr">
        <is>
          <t>100X15X16</t>
        </is>
      </c>
      <c r="F216" t="inlineStr">
        <is>
          <t>PLF 3070</t>
        </is>
      </c>
      <c r="G216" t="inlineStr">
        <is>
          <t>NW</t>
        </is>
      </c>
      <c r="H216" t="inlineStr">
        <is>
          <t>P2Y</t>
        </is>
      </c>
      <c r="I216" t="inlineStr">
        <is>
          <t>HOLES</t>
        </is>
      </c>
      <c r="J216" t="inlineStr">
        <is>
          <t>BSU</t>
        </is>
      </c>
      <c r="K216" t="n">
        <v>7200</v>
      </c>
      <c r="L216" t="n">
        <v>8200</v>
      </c>
      <c r="M216" t="n">
        <v>8600</v>
      </c>
      <c r="N216" t="n">
        <v>9000</v>
      </c>
      <c r="O216" t="n">
        <v>9400</v>
      </c>
      <c r="P216" t="n">
        <v>9800</v>
      </c>
      <c r="Q216" t="n">
        <v>10200</v>
      </c>
      <c r="R216" t="n">
        <v>3.262716135977193</v>
      </c>
      <c r="S216" t="n">
        <v>3.249582018231795</v>
      </c>
      <c r="T216" t="n">
        <v>3.24518361601008</v>
      </c>
      <c r="U216" t="n">
        <v>3.241176182874741</v>
      </c>
      <c r="V216" t="n">
        <v>3.237509807878579</v>
      </c>
      <c r="W216" t="n">
        <v>3.23414272880047</v>
      </c>
      <c r="X216" t="n">
        <v>3.231039734355939</v>
      </c>
    </row>
    <row r="217">
      <c r="A217" t="inlineStr">
        <is>
          <t>25X20X18|PRO 8020|NW|P1Y|HOLES|N/A</t>
        </is>
      </c>
      <c r="B217" t="inlineStr">
        <is>
          <t>GB-252018-M102-02</t>
        </is>
      </c>
      <c r="C217" t="inlineStr">
        <is>
          <t>GB 25x20x18 PRO 8020 NW P1Y+HOLES</t>
        </is>
      </c>
      <c r="D217" t="n">
        <v>1.1</v>
      </c>
      <c r="E217" t="inlineStr">
        <is>
          <t>25X20X18</t>
        </is>
      </c>
      <c r="F217" t="inlineStr">
        <is>
          <t>PRO 8020</t>
        </is>
      </c>
      <c r="G217" t="inlineStr">
        <is>
          <t>NW</t>
        </is>
      </c>
      <c r="H217" t="inlineStr">
        <is>
          <t>P1Y</t>
        </is>
      </c>
      <c r="I217" t="inlineStr">
        <is>
          <t>HOLES</t>
        </is>
      </c>
      <c r="J217" t="inlineStr">
        <is>
          <t>N/A</t>
        </is>
      </c>
      <c r="K217" t="n">
        <v>16600</v>
      </c>
      <c r="L217" t="n">
        <v>18800</v>
      </c>
      <c r="M217" t="n">
        <v>19800</v>
      </c>
      <c r="N217" t="n">
        <v>20600</v>
      </c>
      <c r="O217" t="n">
        <v>21600</v>
      </c>
      <c r="P217" t="n">
        <v>22400</v>
      </c>
      <c r="Q217" t="n">
        <v>23400</v>
      </c>
      <c r="R217" t="n">
        <v>1.184919286740769</v>
      </c>
      <c r="S217" t="n">
        <v>1.179452854141069</v>
      </c>
      <c r="T217" t="n">
        <v>1.177369686529613</v>
      </c>
      <c r="U217" t="n">
        <v>1.175848771923968</v>
      </c>
      <c r="V217" t="n">
        <v>1.174106057271666</v>
      </c>
      <c r="W217" t="n">
        <v>1.172823917206044</v>
      </c>
      <c r="X217" t="n">
        <v>1.171344524822634</v>
      </c>
    </row>
    <row r="218">
      <c r="A218" t="inlineStr">
        <is>
          <t>100X15X12|PRO 7030|NW|P1Y|N/A|N/A</t>
        </is>
      </c>
      <c r="B218" t="inlineStr">
        <is>
          <t>GB-1001512-M103-19</t>
        </is>
      </c>
      <c r="C218" t="inlineStr">
        <is>
          <t>GB 100x15x12 PRO 7030 NW P1Y</t>
        </is>
      </c>
      <c r="D218" t="n">
        <v>2.1</v>
      </c>
      <c r="E218" t="inlineStr">
        <is>
          <t>100X15X12</t>
        </is>
      </c>
      <c r="F218" t="inlineStr">
        <is>
          <t>PRO 7030</t>
        </is>
      </c>
      <c r="G218" t="inlineStr">
        <is>
          <t>NW</t>
        </is>
      </c>
      <c r="H218" t="inlineStr">
        <is>
          <t>P1Y</t>
        </is>
      </c>
      <c r="I218" t="inlineStr">
        <is>
          <t>N/A</t>
        </is>
      </c>
      <c r="J218" t="inlineStr">
        <is>
          <t>N/A</t>
        </is>
      </c>
      <c r="K218" t="n">
        <v>8600</v>
      </c>
      <c r="L218" t="n">
        <v>9800</v>
      </c>
      <c r="M218" t="n">
        <v>10200</v>
      </c>
      <c r="N218" t="n">
        <v>10800</v>
      </c>
      <c r="O218" t="n">
        <v>11200</v>
      </c>
      <c r="P218" t="n">
        <v>11800</v>
      </c>
      <c r="Q218" t="n">
        <v>12200</v>
      </c>
      <c r="R218" t="n">
        <v>2.557254439546894</v>
      </c>
      <c r="S218" t="n">
        <v>2.546213552337284</v>
      </c>
      <c r="T218" t="n">
        <v>2.543110557892752</v>
      </c>
      <c r="U218" t="n">
        <v>2.538887037676585</v>
      </c>
      <c r="V218" t="n">
        <v>2.536322757545341</v>
      </c>
      <c r="W218" t="n">
        <v>2.532802305161768</v>
      </c>
      <c r="X218" t="n">
        <v>2.530647711353243</v>
      </c>
    </row>
    <row r="219">
      <c r="A219" t="inlineStr">
        <is>
          <t>100X15X12|PLF 3070|NW|P1Y|HOLES|N/A</t>
        </is>
      </c>
      <c r="B219" t="inlineStr">
        <is>
          <t>GB-1001512-M107-23</t>
        </is>
      </c>
      <c r="C219" t="inlineStr">
        <is>
          <t>GB 100x15x12 PLF 3070 NW P1Y+HOLES</t>
        </is>
      </c>
      <c r="D219" t="n">
        <v>2</v>
      </c>
      <c r="E219" t="inlineStr">
        <is>
          <t>100X15X12</t>
        </is>
      </c>
      <c r="F219" t="inlineStr">
        <is>
          <t>PLF 3070</t>
        </is>
      </c>
      <c r="G219" t="inlineStr">
        <is>
          <t>NW</t>
        </is>
      </c>
      <c r="H219" t="inlineStr">
        <is>
          <t>P1Y</t>
        </is>
      </c>
      <c r="I219" t="inlineStr">
        <is>
          <t>HOLES</t>
        </is>
      </c>
      <c r="J219" t="inlineStr">
        <is>
          <t>N/A</t>
        </is>
      </c>
      <c r="K219" t="n">
        <v>9000</v>
      </c>
      <c r="L219" t="n">
        <v>10400</v>
      </c>
      <c r="M219" t="n">
        <v>10800</v>
      </c>
      <c r="N219" t="n">
        <v>11400</v>
      </c>
      <c r="O219" t="n">
        <v>11800</v>
      </c>
      <c r="P219" t="n">
        <v>12400</v>
      </c>
      <c r="Q219" t="n">
        <v>12800</v>
      </c>
      <c r="R219" t="n">
        <v>2.623517278610621</v>
      </c>
      <c r="S219" t="n">
        <v>2.611918842324685</v>
      </c>
      <c r="T219" t="n">
        <v>2.609157309875652</v>
      </c>
      <c r="U219" t="n">
        <v>2.605378370734871</v>
      </c>
      <c r="V219" t="n">
        <v>2.603072577360835</v>
      </c>
      <c r="W219" t="n">
        <v>2.599892813917608</v>
      </c>
      <c r="X219" t="n">
        <v>2.597938584301458</v>
      </c>
    </row>
    <row r="220">
      <c r="A220" t="inlineStr">
        <is>
          <t>100X14X15|PRO 7030|NW|P1Y|HOLES|BSU</t>
        </is>
      </c>
      <c r="B220" t="inlineStr">
        <is>
          <t>GB-1001415-M103-01</t>
        </is>
      </c>
      <c r="C220" t="inlineStr">
        <is>
          <t>GB 100x14x15 PRO 7030 NW BSU P1Y + HOLES</t>
        </is>
      </c>
      <c r="D220" t="n">
        <v>2.457</v>
      </c>
      <c r="E220" t="inlineStr">
        <is>
          <t>100X14X15</t>
        </is>
      </c>
      <c r="F220" t="inlineStr">
        <is>
          <t>PRO 7030</t>
        </is>
      </c>
      <c r="G220" t="inlineStr">
        <is>
          <t>NW</t>
        </is>
      </c>
      <c r="H220" t="inlineStr">
        <is>
          <t>P1Y</t>
        </is>
      </c>
      <c r="I220" t="inlineStr">
        <is>
          <t>HOLES</t>
        </is>
      </c>
      <c r="J220" t="inlineStr">
        <is>
          <t>BSU</t>
        </is>
      </c>
      <c r="K220" t="n">
        <v>7400</v>
      </c>
      <c r="L220" t="n">
        <v>8400</v>
      </c>
      <c r="M220" t="n">
        <v>8800</v>
      </c>
      <c r="N220" t="n">
        <v>9200</v>
      </c>
      <c r="O220" t="n">
        <v>9600</v>
      </c>
      <c r="P220" t="n">
        <v>10000</v>
      </c>
      <c r="Q220" t="n">
        <v>10400</v>
      </c>
      <c r="R220" t="n">
        <v>2.951855259113933</v>
      </c>
      <c r="S220" t="n">
        <v>2.93938038279977</v>
      </c>
      <c r="T220" t="n">
        <v>2.935184288039553</v>
      </c>
      <c r="U220" t="n">
        <v>2.931353071084571</v>
      </c>
      <c r="V220" t="n">
        <v>2.927841122209171</v>
      </c>
      <c r="W220" t="n">
        <v>2.924610129243803</v>
      </c>
      <c r="X220" t="n">
        <v>2.921627674198848</v>
      </c>
    </row>
    <row r="221">
      <c r="A221" t="inlineStr">
        <is>
          <t>|PLF 3070|NW|P1Y|HOLES|N/A</t>
        </is>
      </c>
      <c r="B221" t="inlineStr">
        <is>
          <t>GB-1001814-M107-36</t>
        </is>
      </c>
      <c r="C221" t="inlineStr">
        <is>
          <t>GB PLF 3070 NW P1Y + HOLES - 25.2L - EN</t>
        </is>
      </c>
      <c r="D221" t="n">
        <v>2.425696</v>
      </c>
      <c r="E221" t="inlineStr"/>
      <c r="F221" t="inlineStr">
        <is>
          <t>PLF 3070</t>
        </is>
      </c>
      <c r="G221" t="inlineStr">
        <is>
          <t>NW</t>
        </is>
      </c>
      <c r="H221" t="inlineStr">
        <is>
          <t>P1Y</t>
        </is>
      </c>
      <c r="I221" t="inlineStr">
        <is>
          <t>HOLES</t>
        </is>
      </c>
      <c r="J221" t="inlineStr">
        <is>
          <t>N/A</t>
        </is>
      </c>
      <c r="K221" t="n">
        <v>7400</v>
      </c>
      <c r="L221" t="n">
        <v>8400</v>
      </c>
      <c r="M221" t="n">
        <v>8800</v>
      </c>
      <c r="N221" t="n">
        <v>9200</v>
      </c>
      <c r="O221" t="n">
        <v>9800</v>
      </c>
      <c r="P221" t="n">
        <v>10200</v>
      </c>
      <c r="Q221" t="n">
        <v>10600</v>
      </c>
      <c r="R221" t="n">
        <v>3.135992202689344</v>
      </c>
      <c r="S221" t="n">
        <v>3.123517326375181</v>
      </c>
      <c r="T221" t="n">
        <v>3.119321231614963</v>
      </c>
      <c r="U221" t="n">
        <v>3.115490014659982</v>
      </c>
      <c r="V221" t="n">
        <v>3.110329599985924</v>
      </c>
      <c r="W221" t="n">
        <v>3.107226605541393</v>
      </c>
      <c r="X221" t="n">
        <v>3.104357799356826</v>
      </c>
    </row>
    <row r="222">
      <c r="A222" t="inlineStr">
        <is>
          <t>|PLF 3070|NW|P3Y|HOLES|N/A</t>
        </is>
      </c>
      <c r="B222" t="inlineStr">
        <is>
          <t>GB-1001816-M107-32</t>
        </is>
      </c>
      <c r="C222" t="inlineStr">
        <is>
          <t>GB PLF 3070 NW P3Y + HOLES - 28.8L - EN</t>
        </is>
      </c>
      <c r="D222" t="n">
        <v>2.75</v>
      </c>
      <c r="E222" t="inlineStr"/>
      <c r="F222" t="inlineStr">
        <is>
          <t>PLF 3070</t>
        </is>
      </c>
      <c r="G222" t="inlineStr">
        <is>
          <t>NW</t>
        </is>
      </c>
      <c r="H222" t="inlineStr">
        <is>
          <t>P3Y</t>
        </is>
      </c>
      <c r="I222" t="inlineStr">
        <is>
          <t>HOLES</t>
        </is>
      </c>
      <c r="J222" t="inlineStr">
        <is>
          <t>N/A</t>
        </is>
      </c>
      <c r="K222" t="n">
        <v>6600</v>
      </c>
      <c r="L222" t="n">
        <v>7400</v>
      </c>
      <c r="M222" t="n">
        <v>7800</v>
      </c>
      <c r="N222" t="n">
        <v>8200</v>
      </c>
      <c r="O222" t="n">
        <v>8600</v>
      </c>
      <c r="P222" t="n">
        <v>9000</v>
      </c>
      <c r="Q222" t="n">
        <v>9200</v>
      </c>
      <c r="R222" t="n">
        <v>3.647126177239826</v>
      </c>
      <c r="S222" t="n">
        <v>3.63442448499268</v>
      </c>
      <c r="T222" t="n">
        <v>3.629050692118887</v>
      </c>
      <c r="U222" t="n">
        <v>3.624201171720586</v>
      </c>
      <c r="V222" t="n">
        <v>3.619802769498871</v>
      </c>
      <c r="W222" t="n">
        <v>3.615795336363532</v>
      </c>
      <c r="X222" t="n">
        <v>3.613922296963318</v>
      </c>
    </row>
    <row r="223">
      <c r="A223" t="inlineStr">
        <is>
          <t>80X20X12|PLF 3070|NW|P2Y|HOLES|N/A</t>
        </is>
      </c>
      <c r="B223" t="inlineStr">
        <is>
          <t>GB-802012-M107-02</t>
        </is>
      </c>
      <c r="C223" t="inlineStr">
        <is>
          <t>GB 80x20x12 PLF 3070 NW P2Y + HOLES</t>
        </is>
      </c>
      <c r="D223" t="n">
        <v>2.15</v>
      </c>
      <c r="E223" t="inlineStr">
        <is>
          <t>80X20X12</t>
        </is>
      </c>
      <c r="F223" t="inlineStr">
        <is>
          <t>PLF 3070</t>
        </is>
      </c>
      <c r="G223" t="inlineStr">
        <is>
          <t>NW</t>
        </is>
      </c>
      <c r="H223" t="inlineStr">
        <is>
          <t>P2Y</t>
        </is>
      </c>
      <c r="I223" t="inlineStr">
        <is>
          <t>HOLES</t>
        </is>
      </c>
      <c r="J223" t="inlineStr">
        <is>
          <t>N/A</t>
        </is>
      </c>
      <c r="K223" t="n">
        <v>8400</v>
      </c>
      <c r="L223" t="n">
        <v>9600</v>
      </c>
      <c r="M223" t="n">
        <v>10000</v>
      </c>
      <c r="N223" t="n">
        <v>10600</v>
      </c>
      <c r="O223" t="n">
        <v>11000</v>
      </c>
      <c r="P223" t="n">
        <v>11400</v>
      </c>
      <c r="Q223" t="n">
        <v>12000</v>
      </c>
      <c r="R223" t="n">
        <v>2.953550472539856</v>
      </c>
      <c r="S223" t="n">
        <v>2.942011211949256</v>
      </c>
      <c r="T223" t="n">
        <v>2.938780218983889</v>
      </c>
      <c r="U223" t="n">
        <v>2.934390945521502</v>
      </c>
      <c r="V223" t="n">
        <v>2.931730779786722</v>
      </c>
      <c r="W223" t="n">
        <v>2.92925729234912</v>
      </c>
      <c r="X223" t="n">
        <v>2.925856247122417</v>
      </c>
    </row>
    <row r="224">
      <c r="A224" t="inlineStr">
        <is>
          <t>100X20X12|PRO 5050|NW|P2Y|HOLES|N/A</t>
        </is>
      </c>
      <c r="B224" t="inlineStr">
        <is>
          <t>GB-1002012-M105-04</t>
        </is>
      </c>
      <c r="C224" t="inlineStr">
        <is>
          <t>GB 100x20x12 PRO 5050 NW P2Y + HOLES</t>
        </is>
      </c>
      <c r="D224" t="n">
        <v>2.748</v>
      </c>
      <c r="E224" t="inlineStr">
        <is>
          <t>100X20X12</t>
        </is>
      </c>
      <c r="F224" t="inlineStr">
        <is>
          <t>PRO 5050</t>
        </is>
      </c>
      <c r="G224" t="inlineStr">
        <is>
          <t>NW</t>
        </is>
      </c>
      <c r="H224" t="inlineStr">
        <is>
          <t>P2Y</t>
        </is>
      </c>
      <c r="I224" t="inlineStr">
        <is>
          <t>HOLES</t>
        </is>
      </c>
      <c r="J224" t="inlineStr">
        <is>
          <t>N/A</t>
        </is>
      </c>
      <c r="K224" t="n">
        <v>6600</v>
      </c>
      <c r="L224" t="n">
        <v>7400</v>
      </c>
      <c r="M224" t="n">
        <v>7800</v>
      </c>
      <c r="N224" t="n">
        <v>8200</v>
      </c>
      <c r="O224" t="n">
        <v>8600</v>
      </c>
      <c r="P224" t="n">
        <v>9000</v>
      </c>
      <c r="Q224" t="n">
        <v>9200</v>
      </c>
      <c r="R224" t="n">
        <v>3.753133818532549</v>
      </c>
      <c r="S224" t="n">
        <v>3.740432126285402</v>
      </c>
      <c r="T224" t="n">
        <v>3.735058333411611</v>
      </c>
      <c r="U224" t="n">
        <v>3.730208813013309</v>
      </c>
      <c r="V224" t="n">
        <v>3.725810410791595</v>
      </c>
      <c r="W224" t="n">
        <v>3.721802977656254</v>
      </c>
      <c r="X224" t="n">
        <v>3.719929938256041</v>
      </c>
    </row>
    <row r="225">
      <c r="A225" t="inlineStr">
        <is>
          <t>100X11X10|16MM|NW|P1Y|HOLES|BSU</t>
        </is>
      </c>
      <c r="B225" t="inlineStr">
        <is>
          <t>GB-1001110-M003-06</t>
        </is>
      </c>
      <c r="C225" t="inlineStr">
        <is>
          <t>GB 100x11x10 16mm NW BSU P1Y + HOLES</t>
        </is>
      </c>
      <c r="D225" t="n">
        <v>1.2</v>
      </c>
      <c r="E225" t="inlineStr">
        <is>
          <t>100X11X10</t>
        </is>
      </c>
      <c r="F225" t="inlineStr">
        <is>
          <t>16MM</t>
        </is>
      </c>
      <c r="G225" t="inlineStr">
        <is>
          <t>NW</t>
        </is>
      </c>
      <c r="H225" t="inlineStr">
        <is>
          <t>P1Y</t>
        </is>
      </c>
      <c r="I225" t="inlineStr">
        <is>
          <t>HOLES</t>
        </is>
      </c>
      <c r="J225" t="inlineStr">
        <is>
          <t>BSU</t>
        </is>
      </c>
      <c r="K225" t="n">
        <v>15200</v>
      </c>
      <c r="L225" t="n">
        <v>17200</v>
      </c>
      <c r="M225" t="n">
        <v>18000</v>
      </c>
      <c r="N225" t="n">
        <v>19000</v>
      </c>
      <c r="O225" t="n">
        <v>19800</v>
      </c>
      <c r="P225" t="n">
        <v>20600</v>
      </c>
      <c r="Q225" t="n">
        <v>21400</v>
      </c>
      <c r="R225" t="n">
        <v>2.161415224036758</v>
      </c>
      <c r="S225" t="n">
        <v>2.155483168408788</v>
      </c>
      <c r="T225" t="n">
        <v>2.153479451841118</v>
      </c>
      <c r="U225" t="n">
        <v>2.151212088356649</v>
      </c>
      <c r="V225" t="n">
        <v>2.149563096731581</v>
      </c>
      <c r="W225" t="n">
        <v>2.148042182125935</v>
      </c>
      <c r="X225" t="n">
        <v>2.146634980761833</v>
      </c>
    </row>
    <row r="226">
      <c r="A226" t="inlineStr">
        <is>
          <t>|PLF 3070|NW|P3Y|N/A|N/A</t>
        </is>
      </c>
      <c r="B226" t="inlineStr">
        <is>
          <t>GB-1001816-M107-33</t>
        </is>
      </c>
      <c r="C226" t="inlineStr">
        <is>
          <t>GB PLF 3070 NW P3Y - 28.8L - EN</t>
        </is>
      </c>
      <c r="D226" t="n">
        <v>2.75</v>
      </c>
      <c r="E226" t="inlineStr"/>
      <c r="F226" t="inlineStr">
        <is>
          <t>PLF 3070</t>
        </is>
      </c>
      <c r="G226" t="inlineStr">
        <is>
          <t>NW</t>
        </is>
      </c>
      <c r="H226" t="inlineStr">
        <is>
          <t>P3Y</t>
        </is>
      </c>
      <c r="I226" t="inlineStr">
        <is>
          <t>N/A</t>
        </is>
      </c>
      <c r="J226" t="inlineStr">
        <is>
          <t>N/A</t>
        </is>
      </c>
      <c r="K226" t="n">
        <v>6600</v>
      </c>
      <c r="L226" t="n">
        <v>7400</v>
      </c>
      <c r="M226" t="n">
        <v>7800</v>
      </c>
      <c r="N226" t="n">
        <v>8200</v>
      </c>
      <c r="O226" t="n">
        <v>8600</v>
      </c>
      <c r="P226" t="n">
        <v>9000</v>
      </c>
      <c r="Q226" t="n">
        <v>9200</v>
      </c>
      <c r="R226" t="n">
        <v>3.647126177239826</v>
      </c>
      <c r="S226" t="n">
        <v>3.63442448499268</v>
      </c>
      <c r="T226" t="n">
        <v>3.629050692118887</v>
      </c>
      <c r="U226" t="n">
        <v>3.624201171720586</v>
      </c>
      <c r="V226" t="n">
        <v>3.619802769498871</v>
      </c>
      <c r="W226" t="n">
        <v>3.615795336363532</v>
      </c>
      <c r="X226" t="n">
        <v>3.613922296963318</v>
      </c>
    </row>
    <row r="227">
      <c r="A227" t="inlineStr">
        <is>
          <t>100X18X14|PLF 3070|NW|P3Y|HOLES|N/A</t>
        </is>
      </c>
      <c r="B227" t="inlineStr">
        <is>
          <t>GB-1001814-M107-37</t>
        </is>
      </c>
      <c r="C227" t="inlineStr">
        <is>
          <t>GB 100x18x14 PLF 3070 NW P3Y + HOLES – EN</t>
        </is>
      </c>
      <c r="D227" t="n">
        <v>2.425696</v>
      </c>
      <c r="E227" t="inlineStr">
        <is>
          <t>100X18X14</t>
        </is>
      </c>
      <c r="F227" t="inlineStr">
        <is>
          <t>PLF 3070</t>
        </is>
      </c>
      <c r="G227" t="inlineStr">
        <is>
          <t>NW</t>
        </is>
      </c>
      <c r="H227" t="inlineStr">
        <is>
          <t>P3Y</t>
        </is>
      </c>
      <c r="I227" t="inlineStr">
        <is>
          <t>HOLES</t>
        </is>
      </c>
      <c r="J227" t="inlineStr">
        <is>
          <t>N/A</t>
        </is>
      </c>
      <c r="K227" t="n">
        <v>7400</v>
      </c>
      <c r="L227" t="n">
        <v>8400</v>
      </c>
      <c r="M227" t="n">
        <v>8800</v>
      </c>
      <c r="N227" t="n">
        <v>9200</v>
      </c>
      <c r="O227" t="n">
        <v>9800</v>
      </c>
      <c r="P227" t="n">
        <v>10200</v>
      </c>
      <c r="Q227" t="n">
        <v>10600</v>
      </c>
      <c r="R227" t="n">
        <v>3.264531163728305</v>
      </c>
      <c r="S227" t="n">
        <v>3.252056287414142</v>
      </c>
      <c r="T227" t="n">
        <v>3.247860192653924</v>
      </c>
      <c r="U227" t="n">
        <v>3.244028975698942</v>
      </c>
      <c r="V227" t="n">
        <v>3.238868561024885</v>
      </c>
      <c r="W227" t="n">
        <v>3.235765566580354</v>
      </c>
      <c r="X227" t="n">
        <v>3.232896760395788</v>
      </c>
    </row>
    <row r="228">
      <c r="A228" t="inlineStr">
        <is>
          <t>|16MM|NW|P3Y|HOLES|N/A</t>
        </is>
      </c>
      <c r="B228" t="inlineStr">
        <is>
          <t>GB-1001816-M003-44</t>
        </is>
      </c>
      <c r="C228" t="inlineStr">
        <is>
          <t>GB 16mm NW P3Y + HOLES - 28.8L - EN</t>
        </is>
      </c>
      <c r="D228" t="n">
        <v>2.691548611111111</v>
      </c>
      <c r="E228" t="inlineStr"/>
      <c r="F228" t="inlineStr">
        <is>
          <t>16MM</t>
        </is>
      </c>
      <c r="G228" t="inlineStr">
        <is>
          <t>NW</t>
        </is>
      </c>
      <c r="H228" t="inlineStr">
        <is>
          <t>P3Y</t>
        </is>
      </c>
      <c r="I228" t="inlineStr">
        <is>
          <t>HOLES</t>
        </is>
      </c>
      <c r="J228" t="inlineStr">
        <is>
          <t>N/A</t>
        </is>
      </c>
      <c r="K228" t="n">
        <v>6600</v>
      </c>
      <c r="L228" t="n">
        <v>7600</v>
      </c>
      <c r="M228" t="n">
        <v>8000</v>
      </c>
      <c r="N228" t="n">
        <v>8400</v>
      </c>
      <c r="O228" t="n">
        <v>8800</v>
      </c>
      <c r="P228" t="n">
        <v>9200</v>
      </c>
      <c r="Q228" t="n">
        <v>9400</v>
      </c>
      <c r="R228" t="n">
        <v>4.607568281244618</v>
      </c>
      <c r="S228" t="n">
        <v>4.592108984759604</v>
      </c>
      <c r="T228" t="n">
        <v>4.587007416919549</v>
      </c>
      <c r="U228" t="n">
        <v>4.58239171268331</v>
      </c>
      <c r="V228" t="n">
        <v>4.578195617923091</v>
      </c>
      <c r="W228" t="n">
        <v>4.574364400968109</v>
      </c>
      <c r="X228" t="n">
        <v>4.57257106537216</v>
      </c>
    </row>
    <row r="229">
      <c r="A229" t="inlineStr">
        <is>
          <t>|PRO 4060|NW|P1Y|HOLES|N/A</t>
        </is>
      </c>
      <c r="B229" t="inlineStr">
        <is>
          <t>GB-1001816-M106-02</t>
        </is>
      </c>
      <c r="C229" t="inlineStr">
        <is>
          <t>GB PRO 4060 NW P1Y+HOLES - 28.8L - EN</t>
        </is>
      </c>
      <c r="D229" t="n">
        <v>2.828868</v>
      </c>
      <c r="E229" t="inlineStr"/>
      <c r="F229" t="inlineStr">
        <is>
          <t>PRO 4060</t>
        </is>
      </c>
      <c r="G229" t="inlineStr">
        <is>
          <t>NW</t>
        </is>
      </c>
      <c r="H229" t="inlineStr">
        <is>
          <t>P1Y</t>
        </is>
      </c>
      <c r="I229" t="inlineStr">
        <is>
          <t>HOLES</t>
        </is>
      </c>
      <c r="J229" t="inlineStr">
        <is>
          <t>N/A</t>
        </is>
      </c>
      <c r="K229" t="n">
        <v>6400</v>
      </c>
      <c r="L229" t="n">
        <v>7200</v>
      </c>
      <c r="M229" t="n">
        <v>7600</v>
      </c>
      <c r="N229" t="n">
        <v>8000</v>
      </c>
      <c r="O229" t="n">
        <v>8400</v>
      </c>
      <c r="P229" t="n">
        <v>8600</v>
      </c>
      <c r="Q229" t="n">
        <v>9000</v>
      </c>
      <c r="R229" t="n">
        <v>3.924982394156378</v>
      </c>
      <c r="S229" t="n">
        <v>3.911519923467345</v>
      </c>
      <c r="T229" t="n">
        <v>3.905851514756173</v>
      </c>
      <c r="U229" t="n">
        <v>3.900749946916119</v>
      </c>
      <c r="V229" t="n">
        <v>3.896134242679878</v>
      </c>
      <c r="W229" t="n">
        <v>3.893987403500232</v>
      </c>
      <c r="X229" t="n">
        <v>3.889979970364891</v>
      </c>
    </row>
    <row r="230">
      <c r="A230" t="inlineStr">
        <is>
          <t>100X15X15|PRO 7030|NW|P1Y|N/A|N/A</t>
        </is>
      </c>
      <c r="B230" t="inlineStr">
        <is>
          <t>GB-1001515-M103-02</t>
        </is>
      </c>
      <c r="C230" t="inlineStr">
        <is>
          <t>GB 100x15x15 PRO 7030 NW P1Y</t>
        </is>
      </c>
      <c r="D230" t="n">
        <v>2.63</v>
      </c>
      <c r="E230" t="inlineStr">
        <is>
          <t>100X15X15</t>
        </is>
      </c>
      <c r="F230" t="inlineStr">
        <is>
          <t>PRO 7030</t>
        </is>
      </c>
      <c r="G230" t="inlineStr">
        <is>
          <t>NW</t>
        </is>
      </c>
      <c r="H230" t="inlineStr">
        <is>
          <t>P1Y</t>
        </is>
      </c>
      <c r="I230" t="inlineStr">
        <is>
          <t>N/A</t>
        </is>
      </c>
      <c r="J230" t="inlineStr">
        <is>
          <t>N/A</t>
        </is>
      </c>
      <c r="K230" t="n">
        <v>6800</v>
      </c>
      <c r="L230" t="n">
        <v>7800</v>
      </c>
      <c r="M230" t="n">
        <v>8200</v>
      </c>
      <c r="N230" t="n">
        <v>8600</v>
      </c>
      <c r="O230" t="n">
        <v>9000</v>
      </c>
      <c r="P230" t="n">
        <v>9400</v>
      </c>
      <c r="Q230" t="n">
        <v>9800</v>
      </c>
      <c r="R230" t="n">
        <v>3.158105113898658</v>
      </c>
      <c r="S230" t="n">
        <v>3.14348523622731</v>
      </c>
      <c r="T230" t="n">
        <v>3.138635715829009</v>
      </c>
      <c r="U230" t="n">
        <v>3.134237313607295</v>
      </c>
      <c r="V230" t="n">
        <v>3.130229880471954</v>
      </c>
      <c r="W230" t="n">
        <v>3.126563505475792</v>
      </c>
      <c r="X230" t="n">
        <v>3.123196426397684</v>
      </c>
    </row>
    <row r="231">
      <c r="A231" t="inlineStr">
        <is>
          <t>|PLF 2080|NW|P1Y|HOLES|N/A</t>
        </is>
      </c>
      <c r="B231" t="inlineStr">
        <is>
          <t>GB-1001512-M108-01</t>
        </is>
      </c>
      <c r="C231" t="inlineStr">
        <is>
          <t>GB PLF 2080 NW P1Y + HOLES - 18L - EN</t>
        </is>
      </c>
      <c r="D231" t="n">
        <v>1.7527455</v>
      </c>
      <c r="E231" t="inlineStr"/>
      <c r="F231" t="inlineStr">
        <is>
          <t>PLF 2080</t>
        </is>
      </c>
      <c r="G231" t="inlineStr">
        <is>
          <t>NW</t>
        </is>
      </c>
      <c r="H231" t="inlineStr">
        <is>
          <t>P1Y</t>
        </is>
      </c>
      <c r="I231" t="inlineStr">
        <is>
          <t>HOLES</t>
        </is>
      </c>
      <c r="J231" t="inlineStr">
        <is>
          <t>N/A</t>
        </is>
      </c>
      <c r="K231" t="n">
        <v>10400</v>
      </c>
      <c r="L231" t="n">
        <v>11800</v>
      </c>
      <c r="M231" t="n">
        <v>12400</v>
      </c>
      <c r="N231" t="n">
        <v>13000</v>
      </c>
      <c r="O231" t="n">
        <v>13400</v>
      </c>
      <c r="P231" t="n">
        <v>14000</v>
      </c>
      <c r="Q231" t="n">
        <v>14600</v>
      </c>
      <c r="R231" t="n">
        <v>2.734843765700508</v>
      </c>
      <c r="S231" t="n">
        <v>2.725997500736658</v>
      </c>
      <c r="T231" t="n">
        <v>2.722817737293432</v>
      </c>
      <c r="U231" t="n">
        <v>2.719931490475733</v>
      </c>
      <c r="V231" t="n">
        <v>2.718150920299641</v>
      </c>
      <c r="W231" t="n">
        <v>2.715670840411512</v>
      </c>
      <c r="X231" t="n">
        <v>2.713394602705968</v>
      </c>
    </row>
    <row r="232">
      <c r="A232" t="inlineStr">
        <is>
          <t>100X18X16|PRO 5050|NW|P3Y|HOLES|N/A</t>
        </is>
      </c>
      <c r="B232" t="inlineStr">
        <is>
          <t>GB-1001816-M105-21</t>
        </is>
      </c>
      <c r="C232" t="inlineStr">
        <is>
          <t>GB 100x18x16 PRO 5050 NW P3Y + HOLES EN</t>
        </is>
      </c>
      <c r="D232" t="n">
        <v>2.766</v>
      </c>
      <c r="E232" t="inlineStr">
        <is>
          <t>100X18X16</t>
        </is>
      </c>
      <c r="F232" t="inlineStr">
        <is>
          <t>PRO 5050</t>
        </is>
      </c>
      <c r="G232" t="inlineStr">
        <is>
          <t>NW</t>
        </is>
      </c>
      <c r="H232" t="inlineStr">
        <is>
          <t>P3Y</t>
        </is>
      </c>
      <c r="I232" t="inlineStr">
        <is>
          <t>HOLES</t>
        </is>
      </c>
      <c r="J232" t="inlineStr">
        <is>
          <t>N/A</t>
        </is>
      </c>
      <c r="K232" t="n">
        <v>6600</v>
      </c>
      <c r="L232" t="n">
        <v>7400</v>
      </c>
      <c r="M232" t="n">
        <v>7800</v>
      </c>
      <c r="N232" t="n">
        <v>8200</v>
      </c>
      <c r="O232" t="n">
        <v>8600</v>
      </c>
      <c r="P232" t="n">
        <v>8800</v>
      </c>
      <c r="Q232" t="n">
        <v>9200</v>
      </c>
      <c r="R232" t="n">
        <v>3.78586403730237</v>
      </c>
      <c r="S232" t="n">
        <v>3.773162345055224</v>
      </c>
      <c r="T232" t="n">
        <v>3.767788552181431</v>
      </c>
      <c r="U232" t="n">
        <v>3.76293903178313</v>
      </c>
      <c r="V232" t="n">
        <v>3.758540629561415</v>
      </c>
      <c r="W232" t="n">
        <v>3.756491373980843</v>
      </c>
      <c r="X232" t="n">
        <v>3.752660157025862</v>
      </c>
    </row>
    <row r="233">
      <c r="A233" t="inlineStr">
        <is>
          <t>|PRO 7030|NW|P1Y|N/A|BSU</t>
        </is>
      </c>
      <c r="B233" t="inlineStr">
        <is>
          <t>GB-1001812-M103-12</t>
        </is>
      </c>
      <c r="C233" t="inlineStr">
        <is>
          <t>GB PRO 7030 NW P1Y BSU – 21.6L – EN</t>
        </is>
      </c>
      <c r="D233" t="n">
        <v>2.144</v>
      </c>
      <c r="E233" t="inlineStr"/>
      <c r="F233" t="inlineStr">
        <is>
          <t>PRO 7030</t>
        </is>
      </c>
      <c r="G233" t="inlineStr">
        <is>
          <t>NW</t>
        </is>
      </c>
      <c r="H233" t="inlineStr">
        <is>
          <t>P1Y</t>
        </is>
      </c>
      <c r="I233" t="inlineStr">
        <is>
          <t>N/A</t>
        </is>
      </c>
      <c r="J233" t="inlineStr">
        <is>
          <t>BSU</t>
        </is>
      </c>
      <c r="K233" t="n">
        <v>8400</v>
      </c>
      <c r="L233" t="n">
        <v>9600</v>
      </c>
      <c r="M233" t="n">
        <v>10000</v>
      </c>
      <c r="N233" t="n">
        <v>10600</v>
      </c>
      <c r="O233" t="n">
        <v>11000</v>
      </c>
      <c r="P233" t="n">
        <v>11400</v>
      </c>
      <c r="Q233" t="n">
        <v>12000</v>
      </c>
      <c r="R233" t="n">
        <v>2.607785587679651</v>
      </c>
      <c r="S233" t="n">
        <v>2.596246327089051</v>
      </c>
      <c r="T233" t="n">
        <v>2.593015334123683</v>
      </c>
      <c r="U233" t="n">
        <v>2.588626060661296</v>
      </c>
      <c r="V233" t="n">
        <v>2.585965894926516</v>
      </c>
      <c r="W233" t="n">
        <v>2.583492407488914</v>
      </c>
      <c r="X233" t="n">
        <v>2.580091362262211</v>
      </c>
    </row>
    <row r="234">
      <c r="A234" t="inlineStr">
        <is>
          <t>|PRO 5050|NW|P1Y|HOLES|N/A</t>
        </is>
      </c>
      <c r="B234" t="inlineStr">
        <is>
          <t>GB-1001512-M105-14</t>
        </is>
      </c>
      <c r="C234" t="inlineStr">
        <is>
          <t>GB PRO 5050 NW P1Y + HOLES-18L-EN</t>
        </is>
      </c>
      <c r="D234" t="n">
        <v>1.80801225</v>
      </c>
      <c r="E234" t="inlineStr"/>
      <c r="F234" t="inlineStr">
        <is>
          <t>PRO 5050</t>
        </is>
      </c>
      <c r="G234" t="inlineStr">
        <is>
          <t>NW</t>
        </is>
      </c>
      <c r="H234" t="inlineStr">
        <is>
          <t>P1Y</t>
        </is>
      </c>
      <c r="I234" t="inlineStr">
        <is>
          <t>HOLES</t>
        </is>
      </c>
      <c r="J234" t="inlineStr">
        <is>
          <t>N/A</t>
        </is>
      </c>
      <c r="K234" t="n">
        <v>10000</v>
      </c>
      <c r="L234" t="n">
        <v>11400</v>
      </c>
      <c r="M234" t="n">
        <v>12000</v>
      </c>
      <c r="N234" t="n">
        <v>12600</v>
      </c>
      <c r="O234" t="n">
        <v>13000</v>
      </c>
      <c r="P234" t="n">
        <v>13600</v>
      </c>
      <c r="Q234" t="n">
        <v>14200</v>
      </c>
      <c r="R234" t="n">
        <v>2.501796066949891</v>
      </c>
      <c r="S234" t="n">
        <v>2.492273140315122</v>
      </c>
      <c r="T234" t="n">
        <v>2.488872095088419</v>
      </c>
      <c r="U234" t="n">
        <v>2.485794958930925</v>
      </c>
      <c r="V234" t="n">
        <v>2.48390133668016</v>
      </c>
      <c r="W234" t="n">
        <v>2.481269758699317</v>
      </c>
      <c r="X234" t="n">
        <v>2.478860567590095</v>
      </c>
    </row>
    <row r="235">
      <c r="A235" t="inlineStr">
        <is>
          <t>|PLF 3070|NW|P3Y|HOLES|N/A</t>
        </is>
      </c>
      <c r="B235" t="inlineStr">
        <is>
          <t>GB-1001814-M107-38</t>
        </is>
      </c>
      <c r="C235" t="inlineStr">
        <is>
          <t>GB PLF 3070 NW P3Y+HOLES-25.2L-EN (Black plastic b</t>
        </is>
      </c>
      <c r="D235" t="n">
        <v>2.425696</v>
      </c>
      <c r="E235" t="inlineStr"/>
      <c r="F235" t="inlineStr">
        <is>
          <t>PLF 3070</t>
        </is>
      </c>
      <c r="G235" t="inlineStr">
        <is>
          <t>NW</t>
        </is>
      </c>
      <c r="H235" t="inlineStr">
        <is>
          <t>P3Y</t>
        </is>
      </c>
      <c r="I235" t="inlineStr">
        <is>
          <t>HOLES</t>
        </is>
      </c>
      <c r="J235" t="inlineStr">
        <is>
          <t>N/A</t>
        </is>
      </c>
      <c r="K235" t="n">
        <v>7400</v>
      </c>
      <c r="L235" t="n">
        <v>8400</v>
      </c>
      <c r="M235" t="n">
        <v>8800</v>
      </c>
      <c r="N235" t="n">
        <v>9200</v>
      </c>
      <c r="O235" t="n">
        <v>9800</v>
      </c>
      <c r="P235" t="n">
        <v>10200</v>
      </c>
      <c r="Q235" t="n">
        <v>10600</v>
      </c>
      <c r="R235" t="n">
        <v>3.264531163728305</v>
      </c>
      <c r="S235" t="n">
        <v>3.252056287414142</v>
      </c>
      <c r="T235" t="n">
        <v>3.247860192653924</v>
      </c>
      <c r="U235" t="n">
        <v>3.244028975698942</v>
      </c>
      <c r="V235" t="n">
        <v>3.238868561024885</v>
      </c>
      <c r="W235" t="n">
        <v>3.235765566580354</v>
      </c>
      <c r="X235" t="n">
        <v>3.232896760395788</v>
      </c>
    </row>
    <row r="236">
      <c r="A236" t="inlineStr">
        <is>
          <t>|PLF 3070|NW|P2Y|HOLES|BSU</t>
        </is>
      </c>
      <c r="B236" t="inlineStr">
        <is>
          <t>GB-1001212-M107-08</t>
        </is>
      </c>
      <c r="C236" t="inlineStr">
        <is>
          <t>GB PLF 3070 NW P2Y BSU + HOLES - 14.4L - EN</t>
        </is>
      </c>
      <c r="D236" t="n">
        <v>1.388</v>
      </c>
      <c r="E236" t="inlineStr"/>
      <c r="F236" t="inlineStr">
        <is>
          <t>PLF 3070</t>
        </is>
      </c>
      <c r="G236" t="inlineStr">
        <is>
          <t>NW</t>
        </is>
      </c>
      <c r="H236" t="inlineStr">
        <is>
          <t>P2Y</t>
        </is>
      </c>
      <c r="I236" t="inlineStr">
        <is>
          <t>HOLES</t>
        </is>
      </c>
      <c r="J236" t="inlineStr">
        <is>
          <t>BSU</t>
        </is>
      </c>
      <c r="K236" t="n">
        <v>13000</v>
      </c>
      <c r="L236" t="n">
        <v>14800</v>
      </c>
      <c r="M236" t="n">
        <v>15600</v>
      </c>
      <c r="N236" t="n">
        <v>16400</v>
      </c>
      <c r="O236" t="n">
        <v>17000</v>
      </c>
      <c r="P236" t="n">
        <v>17800</v>
      </c>
      <c r="Q236" t="n">
        <v>18400</v>
      </c>
      <c r="R236" t="n">
        <v>1.973817639499177</v>
      </c>
      <c r="S236" t="n">
        <v>1.966563019119557</v>
      </c>
      <c r="T236" t="n">
        <v>1.96387612268266</v>
      </c>
      <c r="U236" t="n">
        <v>1.96145136248351</v>
      </c>
      <c r="V236" t="n">
        <v>1.959782556934683</v>
      </c>
      <c r="W236" t="n">
        <v>1.957732488694925</v>
      </c>
      <c r="X236" t="n">
        <v>1.956311925104875</v>
      </c>
    </row>
    <row r="237">
      <c r="A237" t="inlineStr">
        <is>
          <t>||NW|P1Y|HOLES|N/A</t>
        </is>
      </c>
      <c r="B237" t="inlineStr">
        <is>
          <t>GB-1002008-M108-02</t>
        </is>
      </c>
      <c r="C237" t="inlineStr">
        <is>
          <t>GB 2080 NW P1Y + HOLES -16L-EN</t>
        </is>
      </c>
      <c r="D237" t="n">
        <v>1.46853</v>
      </c>
      <c r="E237" t="inlineStr"/>
      <c r="F237" t="inlineStr"/>
      <c r="G237" t="inlineStr">
        <is>
          <t>NW</t>
        </is>
      </c>
      <c r="H237" t="inlineStr">
        <is>
          <t>P1Y</t>
        </is>
      </c>
      <c r="I237" t="inlineStr">
        <is>
          <t>HOLES</t>
        </is>
      </c>
      <c r="J237" t="inlineStr">
        <is>
          <t>N/A</t>
        </is>
      </c>
      <c r="K237" t="n">
        <v>12400</v>
      </c>
      <c r="L237" t="n">
        <v>14000</v>
      </c>
      <c r="M237" t="n">
        <v>14800</v>
      </c>
      <c r="N237" t="n">
        <v>15400</v>
      </c>
      <c r="O237" t="n">
        <v>16200</v>
      </c>
      <c r="P237" t="n">
        <v>16800</v>
      </c>
      <c r="Q237" t="n">
        <v>17400</v>
      </c>
      <c r="R237" t="n">
        <v>2.391212919964544</v>
      </c>
      <c r="S237" t="n">
        <v>2.384066023082624</v>
      </c>
      <c r="T237" t="n">
        <v>2.381072052767224</v>
      </c>
      <c r="U237" t="n">
        <v>2.379030709370362</v>
      </c>
      <c r="V237" t="n">
        <v>2.37654413469764</v>
      </c>
      <c r="W237" t="n">
        <v>2.374834614610144</v>
      </c>
      <c r="X237" t="n">
        <v>2.373242992459716</v>
      </c>
    </row>
    <row r="238">
      <c r="A238" t="inlineStr">
        <is>
          <t>|PRO 8020|NW|P1Y|HOLES|N/A</t>
        </is>
      </c>
      <c r="B238" t="inlineStr">
        <is>
          <t>GB-1001812-M102-02</t>
        </is>
      </c>
      <c r="C238" t="inlineStr">
        <is>
          <t>GB PRO 8020 NW P1Y + Holes – 21.6L – EN</t>
        </is>
      </c>
      <c r="D238" t="n">
        <v>2.07</v>
      </c>
      <c r="E238" t="inlineStr"/>
      <c r="F238" t="inlineStr">
        <is>
          <t>PRO 8020</t>
        </is>
      </c>
      <c r="G238" t="inlineStr">
        <is>
          <t>NW</t>
        </is>
      </c>
      <c r="H238" t="inlineStr">
        <is>
          <t>P1Y</t>
        </is>
      </c>
      <c r="I238" t="inlineStr">
        <is>
          <t>HOLES</t>
        </is>
      </c>
      <c r="J238" t="inlineStr">
        <is>
          <t>N/A</t>
        </is>
      </c>
      <c r="K238" t="n">
        <v>8800</v>
      </c>
      <c r="L238" t="n">
        <v>10000</v>
      </c>
      <c r="M238" t="n">
        <v>10400</v>
      </c>
      <c r="N238" t="n">
        <v>11000</v>
      </c>
      <c r="O238" t="n">
        <v>11400</v>
      </c>
      <c r="P238" t="n">
        <v>11800</v>
      </c>
      <c r="Q238" t="n">
        <v>12400</v>
      </c>
      <c r="R238" t="n">
        <v>2.404893699750535</v>
      </c>
      <c r="S238" t="n">
        <v>2.394319540954785</v>
      </c>
      <c r="T238" t="n">
        <v>2.39133708590983</v>
      </c>
      <c r="U238" t="n">
        <v>2.387270101757619</v>
      </c>
      <c r="V238" t="n">
        <v>2.384796614320017</v>
      </c>
      <c r="W238" t="n">
        <v>2.382490820945981</v>
      </c>
      <c r="X238" t="n">
        <v>2.379311057502754</v>
      </c>
    </row>
    <row r="239">
      <c r="A239" t="inlineStr">
        <is>
          <t>100X18X14|PRO 7030||P2Y|HOLES|N/A</t>
        </is>
      </c>
      <c r="B239" t="inlineStr">
        <is>
          <t>GB-1001814-M351-01</t>
        </is>
      </c>
      <c r="C239" t="inlineStr">
        <is>
          <t>GB 100x18x14 CoirFlex Hybrid PRO 7030 P2Y + HOLES</t>
        </is>
      </c>
      <c r="D239" t="n">
        <v>2.9484</v>
      </c>
      <c r="E239" t="inlineStr">
        <is>
          <t>100X18X14</t>
        </is>
      </c>
      <c r="F239" t="inlineStr">
        <is>
          <t>PRO 7030</t>
        </is>
      </c>
      <c r="G239" t="inlineStr"/>
      <c r="H239" t="inlineStr">
        <is>
          <t>P2Y</t>
        </is>
      </c>
      <c r="I239" t="inlineStr">
        <is>
          <t>HOLES</t>
        </is>
      </c>
      <c r="J239" t="inlineStr">
        <is>
          <t>N/A</t>
        </is>
      </c>
      <c r="K239" t="n">
        <v>6200</v>
      </c>
      <c r="L239" t="n">
        <v>7000</v>
      </c>
      <c r="M239" t="n">
        <v>7200</v>
      </c>
      <c r="N239" t="n">
        <v>7600</v>
      </c>
      <c r="O239" t="n">
        <v>8000</v>
      </c>
      <c r="P239" t="n">
        <v>8400</v>
      </c>
      <c r="Q239" t="n">
        <v>8600</v>
      </c>
      <c r="R239" t="n">
        <v>3.740698697077534</v>
      </c>
      <c r="S239" t="n">
        <v>3.726404903313694</v>
      </c>
      <c r="T239" t="n">
        <v>3.7233277671562</v>
      </c>
      <c r="U239" t="n">
        <v>3.717659358445028</v>
      </c>
      <c r="V239" t="n">
        <v>3.712557790604974</v>
      </c>
      <c r="W239" t="n">
        <v>3.707942086368734</v>
      </c>
      <c r="X239" t="n">
        <v>3.705795247189087</v>
      </c>
    </row>
    <row r="240">
      <c r="A240" t="inlineStr">
        <is>
          <t>100X20X12|PLF 3070|NW|P2Y|N/A|N/A</t>
        </is>
      </c>
      <c r="B240" t="inlineStr">
        <is>
          <t>GB-1002012-M107-11</t>
        </is>
      </c>
      <c r="C240" t="inlineStr">
        <is>
          <t>GB 100x20x12 PLF 3070 NW P2Y</t>
        </is>
      </c>
      <c r="D240" t="n">
        <v>2.65</v>
      </c>
      <c r="E240" t="inlineStr">
        <is>
          <t>100X20X12</t>
        </is>
      </c>
      <c r="F240" t="inlineStr">
        <is>
          <t>PLF 3070</t>
        </is>
      </c>
      <c r="G240" t="inlineStr">
        <is>
          <t>NW</t>
        </is>
      </c>
      <c r="H240" t="inlineStr">
        <is>
          <t>P2Y</t>
        </is>
      </c>
      <c r="I240" t="inlineStr">
        <is>
          <t>N/A</t>
        </is>
      </c>
      <c r="J240" t="inlineStr">
        <is>
          <t>N/A</t>
        </is>
      </c>
      <c r="K240" t="n">
        <v>6800</v>
      </c>
      <c r="L240" t="n">
        <v>7800</v>
      </c>
      <c r="M240" t="n">
        <v>8200</v>
      </c>
      <c r="N240" t="n">
        <v>8600</v>
      </c>
      <c r="O240" t="n">
        <v>8800</v>
      </c>
      <c r="P240" t="n">
        <v>9200</v>
      </c>
      <c r="Q240" t="n">
        <v>9600</v>
      </c>
      <c r="R240" t="n">
        <v>3.494696185578085</v>
      </c>
      <c r="S240" t="n">
        <v>3.480076307906736</v>
      </c>
      <c r="T240" t="n">
        <v>3.475226787508435</v>
      </c>
      <c r="U240" t="n">
        <v>3.470828385286721</v>
      </c>
      <c r="V240" t="n">
        <v>3.468779129706149</v>
      </c>
      <c r="W240" t="n">
        <v>3.464947912751167</v>
      </c>
      <c r="X240" t="n">
        <v>3.461435963875767</v>
      </c>
    </row>
    <row r="241">
      <c r="A241" t="inlineStr">
        <is>
          <t>100X18X14|PLF 3070|NW|P1Y|HOLES|N/A</t>
        </is>
      </c>
      <c r="B241" t="inlineStr">
        <is>
          <t>GB-1001814-M107R15-01</t>
        </is>
      </c>
      <c r="C241" t="inlineStr">
        <is>
          <t xml:space="preserve">GB 100x18x14 PLF 3070 NW P1Y+HOLES </t>
        </is>
      </c>
      <c r="D241" t="n">
        <v>2.8224</v>
      </c>
      <c r="E241" t="inlineStr">
        <is>
          <t>100X18X14</t>
        </is>
      </c>
      <c r="F241" t="inlineStr">
        <is>
          <t>PLF 3070</t>
        </is>
      </c>
      <c r="G241" t="inlineStr">
        <is>
          <t>NW</t>
        </is>
      </c>
      <c r="H241" t="inlineStr">
        <is>
          <t>P1Y</t>
        </is>
      </c>
      <c r="I241" t="inlineStr">
        <is>
          <t>HOLES</t>
        </is>
      </c>
      <c r="J241" t="inlineStr">
        <is>
          <t>N/A</t>
        </is>
      </c>
      <c r="K241" t="n">
        <v>6400</v>
      </c>
      <c r="L241" t="n">
        <v>7200</v>
      </c>
      <c r="M241" t="n">
        <v>7600</v>
      </c>
      <c r="N241" t="n">
        <v>8000</v>
      </c>
      <c r="O241" t="n">
        <v>8400</v>
      </c>
      <c r="P241" t="n">
        <v>8600</v>
      </c>
      <c r="Q241" t="n">
        <v>9000</v>
      </c>
      <c r="R241" t="n">
        <v>3.594707519487612</v>
      </c>
      <c r="S241" t="n">
        <v>3.581245048798579</v>
      </c>
      <c r="T241" t="n">
        <v>3.575576640087407</v>
      </c>
      <c r="U241" t="n">
        <v>3.570475072247353</v>
      </c>
      <c r="V241" t="n">
        <v>3.565859368011112</v>
      </c>
      <c r="W241" t="n">
        <v>3.563712528831466</v>
      </c>
      <c r="X241" t="n">
        <v>3.559705095696126</v>
      </c>
    </row>
    <row r="242">
      <c r="A242" t="inlineStr">
        <is>
          <t>100X20X10|PRO 4060|NW|P2Y|HOLES|N/A</t>
        </is>
      </c>
      <c r="B242" t="inlineStr">
        <is>
          <t>GB-1002010-M106-06</t>
        </is>
      </c>
      <c r="C242" t="inlineStr">
        <is>
          <t>GB 100x20x10 PRO 4060 NW P2Y+HOLES</t>
        </is>
      </c>
      <c r="D242" t="n">
        <v>2.3</v>
      </c>
      <c r="E242" t="inlineStr">
        <is>
          <t>100X20X10</t>
        </is>
      </c>
      <c r="F242" t="inlineStr">
        <is>
          <t>PRO 4060</t>
        </is>
      </c>
      <c r="G242" t="inlineStr">
        <is>
          <t>NW</t>
        </is>
      </c>
      <c r="H242" t="inlineStr">
        <is>
          <t>P2Y</t>
        </is>
      </c>
      <c r="I242" t="inlineStr">
        <is>
          <t>HOLES</t>
        </is>
      </c>
      <c r="J242" t="inlineStr">
        <is>
          <t>N/A</t>
        </is>
      </c>
      <c r="K242" t="n">
        <v>7800</v>
      </c>
      <c r="L242" t="n">
        <v>9000</v>
      </c>
      <c r="M242" t="n">
        <v>9400</v>
      </c>
      <c r="N242" t="n">
        <v>9800</v>
      </c>
      <c r="O242" t="n">
        <v>10200</v>
      </c>
      <c r="P242" t="n">
        <v>10600</v>
      </c>
      <c r="Q242" t="n">
        <v>11200</v>
      </c>
      <c r="R242" t="n">
        <v>3.289787988520271</v>
      </c>
      <c r="S242" t="n">
        <v>3.276532632764915</v>
      </c>
      <c r="T242" t="n">
        <v>3.272866257768753</v>
      </c>
      <c r="U242" t="n">
        <v>3.269499178690645</v>
      </c>
      <c r="V242" t="n">
        <v>3.266396184246114</v>
      </c>
      <c r="W242" t="n">
        <v>3.263527378061547</v>
      </c>
      <c r="X242" t="n">
        <v>3.259608383898703</v>
      </c>
    </row>
    <row r="243">
      <c r="A243" t="inlineStr">
        <is>
          <t>100X18X14|PLF 3070|NW|P2Y|HOLES|N/A</t>
        </is>
      </c>
      <c r="B243" t="inlineStr">
        <is>
          <t>GB-1001814-M107-42</t>
        </is>
      </c>
      <c r="C243" t="inlineStr">
        <is>
          <t>GB 100x18x14 PLF 3070 NW P2Y+HOLES</t>
        </is>
      </c>
      <c r="D243" t="n">
        <v>2.8</v>
      </c>
      <c r="E243" t="inlineStr">
        <is>
          <t>100X18X14</t>
        </is>
      </c>
      <c r="F243" t="inlineStr">
        <is>
          <t>PLF 3070</t>
        </is>
      </c>
      <c r="G243" t="inlineStr">
        <is>
          <t>NW</t>
        </is>
      </c>
      <c r="H243" t="inlineStr">
        <is>
          <t>P2Y</t>
        </is>
      </c>
      <c r="I243" t="inlineStr">
        <is>
          <t>HOLES</t>
        </is>
      </c>
      <c r="J243" t="inlineStr">
        <is>
          <t>N/A</t>
        </is>
      </c>
      <c r="K243" t="n">
        <v>6400</v>
      </c>
      <c r="L243" t="n">
        <v>7400</v>
      </c>
      <c r="M243" t="n">
        <v>7600</v>
      </c>
      <c r="N243" t="n">
        <v>8000</v>
      </c>
      <c r="O243" t="n">
        <v>8400</v>
      </c>
      <c r="P243" t="n">
        <v>8800</v>
      </c>
      <c r="Q243" t="n">
        <v>9200</v>
      </c>
      <c r="R243" t="n">
        <v>3.595387940461402</v>
      </c>
      <c r="S243" t="n">
        <v>3.579014665299064</v>
      </c>
      <c r="T243" t="n">
        <v>3.576257061061196</v>
      </c>
      <c r="U243" t="n">
        <v>3.571155493221142</v>
      </c>
      <c r="V243" t="n">
        <v>3.566539788984902</v>
      </c>
      <c r="W243" t="n">
        <v>3.562343694224684</v>
      </c>
      <c r="X243" t="n">
        <v>3.558512477269702</v>
      </c>
    </row>
    <row r="244">
      <c r="A244" t="inlineStr">
        <is>
          <t>100X18X16|PLF 3070|NW|P2Y|HOLES|N/A</t>
        </is>
      </c>
      <c r="B244" t="inlineStr">
        <is>
          <t>GB-1001816-M107-35</t>
        </is>
      </c>
      <c r="C244" t="inlineStr">
        <is>
          <t>GB 100x18x16 PLF 3070 NW P2Y + HOLES  – EN</t>
        </is>
      </c>
      <c r="D244" t="n">
        <v>2.75</v>
      </c>
      <c r="E244" t="inlineStr">
        <is>
          <t>100X18X16</t>
        </is>
      </c>
      <c r="F244" t="inlineStr">
        <is>
          <t>PLF 3070</t>
        </is>
      </c>
      <c r="G244" t="inlineStr">
        <is>
          <t>NW</t>
        </is>
      </c>
      <c r="H244" t="inlineStr">
        <is>
          <t>P2Y</t>
        </is>
      </c>
      <c r="I244" t="inlineStr">
        <is>
          <t>HOLES</t>
        </is>
      </c>
      <c r="J244" t="inlineStr">
        <is>
          <t>N/A</t>
        </is>
      </c>
      <c r="K244" t="n">
        <v>6600</v>
      </c>
      <c r="L244" t="n">
        <v>7400</v>
      </c>
      <c r="M244" t="n">
        <v>7800</v>
      </c>
      <c r="N244" t="n">
        <v>8200</v>
      </c>
      <c r="O244" t="n">
        <v>8600</v>
      </c>
      <c r="P244" t="n">
        <v>9000</v>
      </c>
      <c r="Q244" t="n">
        <v>9200</v>
      </c>
      <c r="R244" t="n">
        <v>3.541081534382684</v>
      </c>
      <c r="S244" t="n">
        <v>3.528379842135537</v>
      </c>
      <c r="T244" t="n">
        <v>3.523006049261744</v>
      </c>
      <c r="U244" t="n">
        <v>3.518156528863444</v>
      </c>
      <c r="V244" t="n">
        <v>3.513758126641728</v>
      </c>
      <c r="W244" t="n">
        <v>3.509750693506389</v>
      </c>
      <c r="X244" t="n">
        <v>3.507877654106175</v>
      </c>
    </row>
    <row r="245">
      <c r="A245" t="inlineStr">
        <is>
          <t>|PRO 7030|NW|P2Y|HOLES|N/A</t>
        </is>
      </c>
      <c r="B245" t="inlineStr">
        <is>
          <t>GB-1001814-M351-02</t>
        </is>
      </c>
      <c r="C245" t="inlineStr">
        <is>
          <t>GB CoirFlex PRO 7030 NW P2Y+HOLES-25.2L-EN</t>
        </is>
      </c>
      <c r="D245" t="n">
        <v>2.425696</v>
      </c>
      <c r="E245" t="inlineStr"/>
      <c r="F245" t="inlineStr">
        <is>
          <t>PRO 7030</t>
        </is>
      </c>
      <c r="G245" t="inlineStr">
        <is>
          <t>NW</t>
        </is>
      </c>
      <c r="H245" t="inlineStr">
        <is>
          <t>P2Y</t>
        </is>
      </c>
      <c r="I245" t="inlineStr">
        <is>
          <t>HOLES</t>
        </is>
      </c>
      <c r="J245" t="inlineStr">
        <is>
          <t>N/A</t>
        </is>
      </c>
      <c r="K245" t="n">
        <v>7400</v>
      </c>
      <c r="L245" t="n">
        <v>8400</v>
      </c>
      <c r="M245" t="n">
        <v>8800</v>
      </c>
      <c r="N245" t="n">
        <v>9200</v>
      </c>
      <c r="O245" t="n">
        <v>9800</v>
      </c>
      <c r="P245" t="n">
        <v>10200</v>
      </c>
      <c r="Q245" t="n">
        <v>10600</v>
      </c>
      <c r="R245" t="n">
        <v>3.163197473793239</v>
      </c>
      <c r="S245" t="n">
        <v>3.150722597479077</v>
      </c>
      <c r="T245" t="n">
        <v>3.14652650271886</v>
      </c>
      <c r="U245" t="n">
        <v>3.142695285763878</v>
      </c>
      <c r="V245" t="n">
        <v>3.137534871089821</v>
      </c>
      <c r="W245" t="n">
        <v>3.134431876645289</v>
      </c>
      <c r="X245" t="n">
        <v>3.131563070460723</v>
      </c>
    </row>
    <row r="246">
      <c r="A246" t="inlineStr">
        <is>
          <t>100X18X12|PRO 8020|NW|P1Y|HOLES|N/A</t>
        </is>
      </c>
      <c r="B246" t="inlineStr">
        <is>
          <t>GB-1001812-M102-03</t>
        </is>
      </c>
      <c r="C246" t="inlineStr">
        <is>
          <t>GB 100x18x12 PRO 8020 NW P1Y + HOLES + 21.6L -EN</t>
        </is>
      </c>
      <c r="D246" t="n">
        <v>2.07</v>
      </c>
      <c r="E246" t="inlineStr">
        <is>
          <t>100X18X12</t>
        </is>
      </c>
      <c r="F246" t="inlineStr">
        <is>
          <t>PRO 8020</t>
        </is>
      </c>
      <c r="G246" t="inlineStr">
        <is>
          <t>NW</t>
        </is>
      </c>
      <c r="H246" t="inlineStr">
        <is>
          <t>P1Y</t>
        </is>
      </c>
      <c r="I246" t="inlineStr">
        <is>
          <t>HOLES</t>
        </is>
      </c>
      <c r="J246" t="inlineStr">
        <is>
          <t>N/A</t>
        </is>
      </c>
      <c r="K246" t="n">
        <v>8800</v>
      </c>
      <c r="L246" t="n">
        <v>10000</v>
      </c>
      <c r="M246" t="n">
        <v>10400</v>
      </c>
      <c r="N246" t="n">
        <v>11000</v>
      </c>
      <c r="O246" t="n">
        <v>11400</v>
      </c>
      <c r="P246" t="n">
        <v>11800</v>
      </c>
      <c r="Q246" t="n">
        <v>12400</v>
      </c>
      <c r="R246" t="n">
        <v>2.404893699750535</v>
      </c>
      <c r="S246" t="n">
        <v>2.394319540954785</v>
      </c>
      <c r="T246" t="n">
        <v>2.39133708590983</v>
      </c>
      <c r="U246" t="n">
        <v>2.387270101757619</v>
      </c>
      <c r="V246" t="n">
        <v>2.384796614320017</v>
      </c>
      <c r="W246" t="n">
        <v>2.382490820945981</v>
      </c>
      <c r="X246" t="n">
        <v>2.379311057502754</v>
      </c>
    </row>
    <row r="247">
      <c r="A247" t="inlineStr">
        <is>
          <t>100X15X12|PRO 6040|NW|P1Y|HOLES|BSU</t>
        </is>
      </c>
      <c r="B247" t="inlineStr">
        <is>
          <t>GB-1001512-M104-12</t>
        </is>
      </c>
      <c r="C247" t="inlineStr">
        <is>
          <t>GB 100x15x12 PRO 6040 NW BSU P1Y+HOLES - EN</t>
        </is>
      </c>
      <c r="D247" t="n">
        <v>1.7938008</v>
      </c>
      <c r="E247" t="inlineStr">
        <is>
          <t>100X15X12</t>
        </is>
      </c>
      <c r="F247" t="inlineStr">
        <is>
          <t>PRO 6040</t>
        </is>
      </c>
      <c r="G247" t="inlineStr">
        <is>
          <t>NW</t>
        </is>
      </c>
      <c r="H247" t="inlineStr">
        <is>
          <t>P1Y</t>
        </is>
      </c>
      <c r="I247" t="inlineStr">
        <is>
          <t>HOLES</t>
        </is>
      </c>
      <c r="J247" t="inlineStr">
        <is>
          <t>BSU</t>
        </is>
      </c>
      <c r="K247" t="n">
        <v>10200</v>
      </c>
      <c r="L247" t="n">
        <v>11400</v>
      </c>
      <c r="M247" t="n">
        <v>12000</v>
      </c>
      <c r="N247" t="n">
        <v>12600</v>
      </c>
      <c r="O247" t="n">
        <v>13200</v>
      </c>
      <c r="P247" t="n">
        <v>13800</v>
      </c>
      <c r="Q247" t="n">
        <v>14200</v>
      </c>
      <c r="R247" t="n">
        <v>2.406530796058649</v>
      </c>
      <c r="S247" t="n">
        <v>2.3985283367017</v>
      </c>
      <c r="T247" t="n">
        <v>2.395127291474997</v>
      </c>
      <c r="U247" t="n">
        <v>2.392050155317504</v>
      </c>
      <c r="V247" t="n">
        <v>2.389252758810692</v>
      </c>
      <c r="W247" t="n">
        <v>2.386698614174037</v>
      </c>
      <c r="X247" t="n">
        <v>2.385115763976674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Country</t>
        </is>
      </c>
      <c r="C1" t="inlineStr">
        <is>
          <t>Origin</t>
        </is>
      </c>
      <c r="D1" t="inlineStr">
        <is>
          <t>Destination</t>
        </is>
      </c>
      <c r="E1" t="inlineStr">
        <is>
          <t>Transit_Days</t>
        </is>
      </c>
      <c r="F1" t="inlineStr">
        <is>
          <t>All_In_USD</t>
        </is>
      </c>
      <c r="G1" t="inlineStr">
        <is>
          <t>Gross_Weight_MT</t>
        </is>
      </c>
      <c r="H1" t="inlineStr">
        <is>
          <t>Weight_Confirmed</t>
        </is>
      </c>
    </row>
    <row r="2">
      <c r="A2" t="inlineStr">
        <is>
          <t>Cochin, IN|Agadir, MA</t>
        </is>
      </c>
      <c r="B2" t="inlineStr">
        <is>
          <t>India</t>
        </is>
      </c>
      <c r="C2" t="inlineStr">
        <is>
          <t>Cochin, IN</t>
        </is>
      </c>
      <c r="D2" t="inlineStr">
        <is>
          <t>Agadir, MA</t>
        </is>
      </c>
      <c r="E2" t="n">
        <v>45</v>
      </c>
      <c r="F2" t="n">
        <v>3687</v>
      </c>
      <c r="G2" t="n">
        <v>27</v>
      </c>
      <c r="H2" t="n">
        <v>1</v>
      </c>
    </row>
    <row r="3">
      <c r="A3" t="inlineStr">
        <is>
          <t>Cochin, IN|Alexandria, EG</t>
        </is>
      </c>
      <c r="B3" t="inlineStr">
        <is>
          <t>India</t>
        </is>
      </c>
      <c r="C3" t="inlineStr">
        <is>
          <t>Cochin, IN</t>
        </is>
      </c>
      <c r="D3" t="inlineStr">
        <is>
          <t>Alexandria, EG</t>
        </is>
      </c>
      <c r="E3" t="n">
        <v>67</v>
      </c>
      <c r="F3" t="n">
        <v>2595</v>
      </c>
      <c r="G3" t="n">
        <v>25</v>
      </c>
      <c r="H3" t="n">
        <v>1</v>
      </c>
    </row>
    <row r="4">
      <c r="A4" t="inlineStr">
        <is>
          <t>Cochin, IN|Algeciras, ES</t>
        </is>
      </c>
      <c r="B4" t="inlineStr">
        <is>
          <t>India</t>
        </is>
      </c>
      <c r="C4" t="inlineStr">
        <is>
          <t>Cochin, IN</t>
        </is>
      </c>
      <c r="D4" t="inlineStr">
        <is>
          <t>Algeciras, ES</t>
        </is>
      </c>
      <c r="E4" t="n">
        <v>34</v>
      </c>
      <c r="F4" t="n">
        <v>2504</v>
      </c>
      <c r="G4" t="n">
        <v>24</v>
      </c>
      <c r="H4" t="n">
        <v>1</v>
      </c>
    </row>
    <row r="5">
      <c r="A5" t="inlineStr">
        <is>
          <t>Cochin, IN|Almeria, ES</t>
        </is>
      </c>
      <c r="B5" t="inlineStr">
        <is>
          <t>India</t>
        </is>
      </c>
      <c r="C5" t="inlineStr">
        <is>
          <t>Cochin, IN</t>
        </is>
      </c>
      <c r="D5" t="inlineStr">
        <is>
          <t>Almeria, ES</t>
        </is>
      </c>
      <c r="E5" t="n">
        <v>42</v>
      </c>
      <c r="F5" t="n">
        <v>3059</v>
      </c>
      <c r="G5" t="n">
        <v>24</v>
      </c>
      <c r="H5" t="n">
        <v>1</v>
      </c>
    </row>
    <row r="6">
      <c r="A6" t="inlineStr">
        <is>
          <t>Cochin, IN|Altamira, MX</t>
        </is>
      </c>
      <c r="B6" t="inlineStr">
        <is>
          <t>India</t>
        </is>
      </c>
      <c r="C6" t="inlineStr">
        <is>
          <t>Cochin, IN</t>
        </is>
      </c>
      <c r="D6" t="inlineStr">
        <is>
          <t>Altamira, MX</t>
        </is>
      </c>
      <c r="E6" t="n">
        <v>61</v>
      </c>
      <c r="F6" t="n">
        <v>2585</v>
      </c>
      <c r="G6" t="n">
        <v>23</v>
      </c>
      <c r="H6" t="n">
        <v>1</v>
      </c>
    </row>
    <row r="7">
      <c r="A7" t="inlineStr">
        <is>
          <t>Cochin, IN|Ashdod, IL</t>
        </is>
      </c>
      <c r="B7" t="inlineStr">
        <is>
          <t>India</t>
        </is>
      </c>
      <c r="C7" t="inlineStr">
        <is>
          <t>Cochin, IN</t>
        </is>
      </c>
      <c r="D7" t="inlineStr">
        <is>
          <t>Ashdod, IL</t>
        </is>
      </c>
      <c r="E7" t="n">
        <v>64</v>
      </c>
      <c r="F7" t="n">
        <v>2345</v>
      </c>
      <c r="G7" t="n">
        <v>25</v>
      </c>
      <c r="H7" t="n">
        <v>1</v>
      </c>
    </row>
    <row r="8">
      <c r="A8" t="inlineStr">
        <is>
          <t>Cochin, IN|Balboa, PA</t>
        </is>
      </c>
      <c r="B8" t="inlineStr">
        <is>
          <t>India</t>
        </is>
      </c>
      <c r="C8" t="inlineStr">
        <is>
          <t>Cochin, IN</t>
        </is>
      </c>
      <c r="D8" t="inlineStr">
        <is>
          <t>Balboa, PA</t>
        </is>
      </c>
      <c r="E8" t="n">
        <v>59</v>
      </c>
      <c r="F8" t="n">
        <v>2905</v>
      </c>
      <c r="G8" t="n">
        <v>23</v>
      </c>
      <c r="H8" t="n">
        <v>0</v>
      </c>
    </row>
    <row r="9">
      <c r="A9" t="inlineStr">
        <is>
          <t>Cochin, IN|Barcelona, ES</t>
        </is>
      </c>
      <c r="B9" t="inlineStr">
        <is>
          <t>India</t>
        </is>
      </c>
      <c r="C9" t="inlineStr">
        <is>
          <t>Cochin, IN</t>
        </is>
      </c>
      <c r="D9" t="inlineStr">
        <is>
          <t>Barcelona, ES</t>
        </is>
      </c>
      <c r="E9" t="n">
        <v>50</v>
      </c>
      <c r="F9" t="n">
        <v>2504</v>
      </c>
      <c r="G9" t="n">
        <v>24</v>
      </c>
      <c r="H9" t="n">
        <v>1</v>
      </c>
    </row>
    <row r="10">
      <c r="A10" t="inlineStr">
        <is>
          <t>Cochin, IN|Belfast Northern Ireland, GB</t>
        </is>
      </c>
      <c r="B10" t="inlineStr">
        <is>
          <t>India</t>
        </is>
      </c>
      <c r="C10" t="inlineStr">
        <is>
          <t>Cochin, IN</t>
        </is>
      </c>
      <c r="D10" t="inlineStr">
        <is>
          <t>Belfast Northern Ireland, GB</t>
        </is>
      </c>
      <c r="E10" t="n">
        <v>48</v>
      </c>
      <c r="F10" t="n">
        <v>3055</v>
      </c>
      <c r="G10" t="n">
        <v>23</v>
      </c>
      <c r="H10" t="n">
        <v>0</v>
      </c>
    </row>
    <row r="11">
      <c r="A11" t="inlineStr">
        <is>
          <t>Cochin, IN|Bilbao, ES</t>
        </is>
      </c>
      <c r="B11" t="inlineStr">
        <is>
          <t>India</t>
        </is>
      </c>
      <c r="C11" t="inlineStr">
        <is>
          <t>Cochin, IN</t>
        </is>
      </c>
      <c r="D11" t="inlineStr">
        <is>
          <t>Bilbao, ES</t>
        </is>
      </c>
      <c r="E11" t="n">
        <v>54</v>
      </c>
      <c r="F11" t="n">
        <v>3109</v>
      </c>
      <c r="G11" t="n">
        <v>24</v>
      </c>
      <c r="H11" t="n">
        <v>1</v>
      </c>
    </row>
    <row r="12">
      <c r="A12" t="inlineStr">
        <is>
          <t>Cochin, IN|Burgas, BG</t>
        </is>
      </c>
      <c r="B12" t="inlineStr">
        <is>
          <t>India</t>
        </is>
      </c>
      <c r="C12" t="inlineStr">
        <is>
          <t>Cochin, IN</t>
        </is>
      </c>
      <c r="D12" t="inlineStr">
        <is>
          <t>Burgas, BG</t>
        </is>
      </c>
      <c r="E12" t="n">
        <v>57</v>
      </c>
      <c r="F12" t="n">
        <v>3233</v>
      </c>
      <c r="G12" t="n">
        <v>24</v>
      </c>
      <c r="H12" t="n">
        <v>1</v>
      </c>
    </row>
    <row r="13">
      <c r="A13" t="inlineStr">
        <is>
          <t>Cochin, IN|Cagliari, IT</t>
        </is>
      </c>
      <c r="B13" t="inlineStr">
        <is>
          <t>India</t>
        </is>
      </c>
      <c r="C13" t="inlineStr">
        <is>
          <t>Cochin, IN</t>
        </is>
      </c>
      <c r="D13" t="inlineStr">
        <is>
          <t>Cagliari, IT</t>
        </is>
      </c>
      <c r="E13" t="n">
        <v>46</v>
      </c>
      <c r="F13" t="n">
        <v>3297</v>
      </c>
      <c r="G13" t="n">
        <v>23</v>
      </c>
      <c r="H13" t="n">
        <v>0</v>
      </c>
    </row>
    <row r="14">
      <c r="A14" t="inlineStr">
        <is>
          <t>Cochin, IN|Callao, PE</t>
        </is>
      </c>
      <c r="B14" t="inlineStr">
        <is>
          <t>India</t>
        </is>
      </c>
      <c r="C14" t="inlineStr">
        <is>
          <t>Cochin, IN</t>
        </is>
      </c>
      <c r="D14" t="inlineStr">
        <is>
          <t>Callao, PE</t>
        </is>
      </c>
      <c r="E14" t="n">
        <v>66</v>
      </c>
      <c r="F14" t="n">
        <v>2605</v>
      </c>
      <c r="G14" t="n">
        <v>25</v>
      </c>
      <c r="H14" t="n">
        <v>1</v>
      </c>
    </row>
    <row r="15">
      <c r="A15" t="inlineStr">
        <is>
          <t>Cochin, IN|Cartagena, CO</t>
        </is>
      </c>
      <c r="B15" t="inlineStr">
        <is>
          <t>India</t>
        </is>
      </c>
      <c r="C15" t="inlineStr">
        <is>
          <t>Cochin, IN</t>
        </is>
      </c>
      <c r="D15" t="inlineStr">
        <is>
          <t>Cartagena, CO</t>
        </is>
      </c>
      <c r="E15" t="n">
        <v>68</v>
      </c>
      <c r="F15" t="n">
        <v>2905</v>
      </c>
      <c r="G15" t="n">
        <v>23</v>
      </c>
      <c r="H15" t="n">
        <v>0</v>
      </c>
    </row>
    <row r="16">
      <c r="A16" t="inlineStr">
        <is>
          <t>Cochin, IN|Cartagena, ES</t>
        </is>
      </c>
      <c r="B16" t="inlineStr">
        <is>
          <t>India</t>
        </is>
      </c>
      <c r="C16" t="inlineStr">
        <is>
          <t>Cochin, IN</t>
        </is>
      </c>
      <c r="D16" t="inlineStr">
        <is>
          <t>Cartagena, ES</t>
        </is>
      </c>
      <c r="E16" t="n">
        <v>0</v>
      </c>
      <c r="F16" t="n">
        <v>3245</v>
      </c>
      <c r="G16" t="n">
        <v>24</v>
      </c>
      <c r="H16" t="n">
        <v>1</v>
      </c>
    </row>
    <row r="17">
      <c r="A17" t="inlineStr">
        <is>
          <t>Cochin, IN|Casablanca, MA</t>
        </is>
      </c>
      <c r="B17" t="inlineStr">
        <is>
          <t>India</t>
        </is>
      </c>
      <c r="C17" t="inlineStr">
        <is>
          <t>Cochin, IN</t>
        </is>
      </c>
      <c r="D17" t="inlineStr">
        <is>
          <t>Casablanca, MA</t>
        </is>
      </c>
      <c r="E17" t="n">
        <v>44</v>
      </c>
      <c r="F17" t="n">
        <v>2855</v>
      </c>
      <c r="G17" t="n">
        <v>27</v>
      </c>
      <c r="H17" t="n">
        <v>1</v>
      </c>
    </row>
    <row r="18">
      <c r="A18" t="inlineStr">
        <is>
          <t>Cochin, IN|Dublin, IE</t>
        </is>
      </c>
      <c r="B18" t="inlineStr">
        <is>
          <t>India</t>
        </is>
      </c>
      <c r="C18" t="inlineStr">
        <is>
          <t>Cochin, IN</t>
        </is>
      </c>
      <c r="D18" t="inlineStr">
        <is>
          <t>Dublin, IE</t>
        </is>
      </c>
      <c r="E18" t="n">
        <v>48</v>
      </c>
      <c r="F18" t="n">
        <v>3698</v>
      </c>
      <c r="G18" t="n">
        <v>23</v>
      </c>
      <c r="H18" t="n">
        <v>0</v>
      </c>
    </row>
    <row r="19">
      <c r="A19" t="inlineStr">
        <is>
          <t>Cochin, IN|Genoa Vado Ligure, IT</t>
        </is>
      </c>
      <c r="B19" t="inlineStr">
        <is>
          <t>India</t>
        </is>
      </c>
      <c r="C19" t="inlineStr">
        <is>
          <t>Cochin, IN</t>
        </is>
      </c>
      <c r="D19" t="inlineStr">
        <is>
          <t>Genoa Vado Ligure, IT</t>
        </is>
      </c>
      <c r="E19" t="n">
        <v>41</v>
      </c>
      <c r="F19" t="n">
        <v>2557</v>
      </c>
      <c r="G19" t="n">
        <v>23</v>
      </c>
      <c r="H19" t="n">
        <v>0</v>
      </c>
    </row>
    <row r="20">
      <c r="A20" t="inlineStr">
        <is>
          <t>Cochin, IN|Gijon, ES</t>
        </is>
      </c>
      <c r="B20" t="inlineStr">
        <is>
          <t>India</t>
        </is>
      </c>
      <c r="C20" t="inlineStr">
        <is>
          <t>Cochin, IN</t>
        </is>
      </c>
      <c r="D20" t="inlineStr">
        <is>
          <t>Gijon, ES</t>
        </is>
      </c>
      <c r="E20" t="n">
        <v>46</v>
      </c>
      <c r="F20" t="n">
        <v>3259</v>
      </c>
      <c r="G20" t="n">
        <v>23</v>
      </c>
      <c r="H20" t="n">
        <v>0</v>
      </c>
    </row>
    <row r="21">
      <c r="A21" t="inlineStr">
        <is>
          <t>Cochin, IN|Grangemouth, GB</t>
        </is>
      </c>
      <c r="B21" t="inlineStr">
        <is>
          <t>India</t>
        </is>
      </c>
      <c r="C21" t="inlineStr">
        <is>
          <t>Cochin, IN</t>
        </is>
      </c>
      <c r="D21" t="inlineStr">
        <is>
          <t>Grangemouth, GB</t>
        </is>
      </c>
      <c r="E21" t="n">
        <v>46</v>
      </c>
      <c r="F21" t="n">
        <v>2855</v>
      </c>
      <c r="G21" t="n">
        <v>23</v>
      </c>
      <c r="H21" t="n">
        <v>0</v>
      </c>
    </row>
    <row r="22">
      <c r="A22" t="inlineStr">
        <is>
          <t>Cochin, IN|Guayaquil-Posorja, EC</t>
        </is>
      </c>
      <c r="B22" t="inlineStr">
        <is>
          <t>India</t>
        </is>
      </c>
      <c r="C22" t="inlineStr">
        <is>
          <t>Cochin, IN</t>
        </is>
      </c>
      <c r="D22" t="inlineStr">
        <is>
          <t>Guayaquil-Posorja, EC</t>
        </is>
      </c>
      <c r="E22" t="n">
        <v>68</v>
      </c>
      <c r="F22" t="n">
        <v>2655</v>
      </c>
      <c r="G22" t="n">
        <v>25</v>
      </c>
      <c r="H22" t="n">
        <v>1</v>
      </c>
    </row>
    <row r="23">
      <c r="A23" t="inlineStr">
        <is>
          <t>Cochin, IN|Haifa, IL</t>
        </is>
      </c>
      <c r="B23" t="inlineStr">
        <is>
          <t>India</t>
        </is>
      </c>
      <c r="C23" t="inlineStr">
        <is>
          <t>Cochin, IN</t>
        </is>
      </c>
      <c r="D23" t="inlineStr">
        <is>
          <t>Haifa, IL</t>
        </is>
      </c>
      <c r="E23" t="n">
        <v>51</v>
      </c>
      <c r="F23" t="n">
        <v>2645</v>
      </c>
      <c r="G23" t="n">
        <v>23</v>
      </c>
      <c r="H23" t="n">
        <v>0</v>
      </c>
    </row>
    <row r="24">
      <c r="A24" t="inlineStr">
        <is>
          <t>Cochin, IN|Kingston, JM</t>
        </is>
      </c>
      <c r="B24" t="inlineStr">
        <is>
          <t>India</t>
        </is>
      </c>
      <c r="C24" t="inlineStr">
        <is>
          <t>Cochin, IN</t>
        </is>
      </c>
      <c r="D24" t="inlineStr">
        <is>
          <t>Kingston, JM</t>
        </is>
      </c>
      <c r="E24" t="n">
        <v>62</v>
      </c>
      <c r="F24" t="n">
        <v>3798</v>
      </c>
      <c r="G24" t="n">
        <v>23</v>
      </c>
      <c r="H24" t="n">
        <v>0</v>
      </c>
    </row>
    <row r="25">
      <c r="A25" t="inlineStr">
        <is>
          <t>Cochin, IN|La Spezia, IT</t>
        </is>
      </c>
      <c r="B25" t="inlineStr">
        <is>
          <t>India</t>
        </is>
      </c>
      <c r="C25" t="inlineStr">
        <is>
          <t>Cochin, IN</t>
        </is>
      </c>
      <c r="D25" t="inlineStr">
        <is>
          <t>La Spezia, IT</t>
        </is>
      </c>
      <c r="E25" t="n">
        <v>42</v>
      </c>
      <c r="F25" t="n">
        <v>2557</v>
      </c>
      <c r="G25" t="n">
        <v>23</v>
      </c>
      <c r="H25" t="n">
        <v>0</v>
      </c>
    </row>
    <row r="26">
      <c r="A26" t="inlineStr">
        <is>
          <t>Cochin, IN|Las Palmas de Gran Canaria, ES</t>
        </is>
      </c>
      <c r="B26" t="inlineStr">
        <is>
          <t>India</t>
        </is>
      </c>
      <c r="C26" t="inlineStr">
        <is>
          <t>Cochin, IN</t>
        </is>
      </c>
      <c r="D26" t="inlineStr">
        <is>
          <t>Las Palmas de Gran Canaria, ES</t>
        </is>
      </c>
      <c r="E26" t="n">
        <v>43</v>
      </c>
      <c r="F26" t="n">
        <v>3589</v>
      </c>
      <c r="G26" t="n">
        <v>24</v>
      </c>
      <c r="H26" t="n">
        <v>1</v>
      </c>
    </row>
    <row r="27">
      <c r="A27" t="inlineStr">
        <is>
          <t>Cochin, IN|Leghorn, IT</t>
        </is>
      </c>
      <c r="B27" t="inlineStr">
        <is>
          <t>India</t>
        </is>
      </c>
      <c r="C27" t="inlineStr">
        <is>
          <t>Cochin, IN</t>
        </is>
      </c>
      <c r="D27" t="inlineStr">
        <is>
          <t>Leghorn, IT</t>
        </is>
      </c>
      <c r="E27" t="n">
        <v>54</v>
      </c>
      <c r="F27" t="n">
        <v>2557</v>
      </c>
      <c r="G27" t="n">
        <v>23</v>
      </c>
      <c r="H27" t="n">
        <v>0</v>
      </c>
    </row>
    <row r="28">
      <c r="A28" t="inlineStr">
        <is>
          <t>Cochin, IN|Leixoes, PT</t>
        </is>
      </c>
      <c r="B28" t="inlineStr">
        <is>
          <t>India</t>
        </is>
      </c>
      <c r="C28" t="inlineStr">
        <is>
          <t>Cochin, IN</t>
        </is>
      </c>
      <c r="D28" t="inlineStr">
        <is>
          <t>Leixoes, PT</t>
        </is>
      </c>
      <c r="E28" t="n">
        <v>44</v>
      </c>
      <c r="F28" t="n">
        <v>3224</v>
      </c>
      <c r="G28" t="n">
        <v>25</v>
      </c>
      <c r="H28" t="n">
        <v>1</v>
      </c>
    </row>
    <row r="29">
      <c r="A29" t="inlineStr">
        <is>
          <t>Cochin, IN|Lisbon, PT</t>
        </is>
      </c>
      <c r="B29" t="inlineStr">
        <is>
          <t>India</t>
        </is>
      </c>
      <c r="C29" t="inlineStr">
        <is>
          <t>Cochin, IN</t>
        </is>
      </c>
      <c r="D29" t="inlineStr">
        <is>
          <t>Lisbon, PT</t>
        </is>
      </c>
      <c r="E29" t="n">
        <v>43</v>
      </c>
      <c r="F29" t="n">
        <v>2704</v>
      </c>
      <c r="G29" t="n">
        <v>25</v>
      </c>
      <c r="H29" t="n">
        <v>1</v>
      </c>
    </row>
    <row r="30">
      <c r="A30" t="inlineStr">
        <is>
          <t>Cochin, IN|Liverpool, GB</t>
        </is>
      </c>
      <c r="B30" t="inlineStr">
        <is>
          <t>India</t>
        </is>
      </c>
      <c r="C30" t="inlineStr">
        <is>
          <t>Cochin, IN</t>
        </is>
      </c>
      <c r="D30" t="inlineStr">
        <is>
          <t>Liverpool, GB</t>
        </is>
      </c>
      <c r="E30" t="n">
        <v>49</v>
      </c>
      <c r="F30" t="n">
        <v>3415</v>
      </c>
      <c r="G30" t="n">
        <v>23</v>
      </c>
      <c r="H30" t="n">
        <v>0</v>
      </c>
    </row>
    <row r="31">
      <c r="A31" t="inlineStr">
        <is>
          <t>Cochin, IN|London Gateway, GB</t>
        </is>
      </c>
      <c r="B31" t="inlineStr">
        <is>
          <t>India</t>
        </is>
      </c>
      <c r="C31" t="inlineStr">
        <is>
          <t>Cochin, IN</t>
        </is>
      </c>
      <c r="D31" t="inlineStr">
        <is>
          <t>London Gateway, GB</t>
        </is>
      </c>
      <c r="E31" t="n">
        <v>42</v>
      </c>
      <c r="F31" t="n">
        <v>2355</v>
      </c>
      <c r="G31" t="n">
        <v>26</v>
      </c>
      <c r="H31" t="n">
        <v>1</v>
      </c>
    </row>
    <row r="32">
      <c r="A32" t="inlineStr">
        <is>
          <t>Cochin, IN|Manzanillo, MX</t>
        </is>
      </c>
      <c r="B32" t="inlineStr">
        <is>
          <t>India</t>
        </is>
      </c>
      <c r="C32" t="inlineStr">
        <is>
          <t>Cochin, IN</t>
        </is>
      </c>
      <c r="D32" t="inlineStr">
        <is>
          <t>Manzanillo, MX</t>
        </is>
      </c>
      <c r="E32" t="n">
        <v>76</v>
      </c>
      <c r="F32" t="n">
        <v>2585</v>
      </c>
      <c r="G32" t="n">
        <v>23</v>
      </c>
      <c r="H32" t="n">
        <v>1</v>
      </c>
    </row>
    <row r="33">
      <c r="A33" t="inlineStr">
        <is>
          <t>Cochin, IN|Marin, ES</t>
        </is>
      </c>
      <c r="B33" t="inlineStr">
        <is>
          <t>India</t>
        </is>
      </c>
      <c r="C33" t="inlineStr">
        <is>
          <t>Cochin, IN</t>
        </is>
      </c>
      <c r="D33" t="inlineStr">
        <is>
          <t>Marin, ES</t>
        </is>
      </c>
      <c r="E33" t="n">
        <v>43</v>
      </c>
      <c r="F33" t="n">
        <v>3059</v>
      </c>
      <c r="G33" t="n">
        <v>23</v>
      </c>
      <c r="H33" t="n">
        <v>0</v>
      </c>
    </row>
    <row r="34">
      <c r="A34" t="inlineStr">
        <is>
          <t>Cochin, IN|Mersin, TR</t>
        </is>
      </c>
      <c r="B34" t="inlineStr">
        <is>
          <t>India</t>
        </is>
      </c>
      <c r="C34" t="inlineStr">
        <is>
          <t>Cochin, IN</t>
        </is>
      </c>
      <c r="D34" t="inlineStr">
        <is>
          <t>Mersin, TR</t>
        </is>
      </c>
      <c r="E34" t="n">
        <v>70</v>
      </c>
      <c r="F34" t="n">
        <v>2355</v>
      </c>
      <c r="G34" t="n">
        <v>25</v>
      </c>
      <c r="H34" t="n">
        <v>1</v>
      </c>
    </row>
    <row r="35">
      <c r="A35" t="inlineStr">
        <is>
          <t>Cochin, IN|Naples, IT</t>
        </is>
      </c>
      <c r="B35" t="inlineStr">
        <is>
          <t>India</t>
        </is>
      </c>
      <c r="C35" t="inlineStr">
        <is>
          <t>Cochin, IN</t>
        </is>
      </c>
      <c r="D35" t="inlineStr">
        <is>
          <t>Naples, IT</t>
        </is>
      </c>
      <c r="E35" t="n">
        <v>43</v>
      </c>
      <c r="F35" t="n">
        <v>2657</v>
      </c>
      <c r="G35" t="n">
        <v>23</v>
      </c>
      <c r="H35" t="n">
        <v>0</v>
      </c>
    </row>
    <row r="36">
      <c r="A36" t="inlineStr">
        <is>
          <t>Cochin, IN|Paita, PE</t>
        </is>
      </c>
      <c r="B36" t="inlineStr">
        <is>
          <t>India</t>
        </is>
      </c>
      <c r="C36" t="inlineStr">
        <is>
          <t>Cochin, IN</t>
        </is>
      </c>
      <c r="D36" t="inlineStr">
        <is>
          <t>Paita, PE</t>
        </is>
      </c>
      <c r="E36" t="n">
        <v>73</v>
      </c>
      <c r="F36" t="n">
        <v>3355</v>
      </c>
      <c r="G36" t="n">
        <v>23</v>
      </c>
      <c r="H36" t="n">
        <v>0</v>
      </c>
    </row>
    <row r="37">
      <c r="A37" t="inlineStr">
        <is>
          <t>Cochin, IN|Piraeus, GR</t>
        </is>
      </c>
      <c r="B37" t="inlineStr">
        <is>
          <t>India</t>
        </is>
      </c>
      <c r="C37" t="inlineStr">
        <is>
          <t>Cochin, IN</t>
        </is>
      </c>
      <c r="D37" t="inlineStr">
        <is>
          <t>Piraeus, GR</t>
        </is>
      </c>
      <c r="E37" t="n">
        <v>65</v>
      </c>
      <c r="F37" t="n">
        <v>2564</v>
      </c>
      <c r="G37" t="n">
        <v>25</v>
      </c>
      <c r="H37" t="n">
        <v>1</v>
      </c>
    </row>
    <row r="38">
      <c r="A38" t="inlineStr">
        <is>
          <t>Cochin, IN|Port Elizabeth, ZA</t>
        </is>
      </c>
      <c r="B38" t="inlineStr">
        <is>
          <t>India</t>
        </is>
      </c>
      <c r="C38" t="inlineStr">
        <is>
          <t>Cochin, IN</t>
        </is>
      </c>
      <c r="D38" t="inlineStr">
        <is>
          <t>Port Elizabeth, ZA</t>
        </is>
      </c>
      <c r="E38" t="n">
        <v>66</v>
      </c>
      <c r="F38" t="n">
        <v>3505</v>
      </c>
      <c r="G38" t="n">
        <v>23</v>
      </c>
      <c r="H38" t="n">
        <v>0</v>
      </c>
    </row>
    <row r="39">
      <c r="A39" t="inlineStr">
        <is>
          <t>Cochin, IN|Port Tangier Mediterranee, MA</t>
        </is>
      </c>
      <c r="B39" t="inlineStr">
        <is>
          <t>India</t>
        </is>
      </c>
      <c r="C39" t="inlineStr">
        <is>
          <t>Cochin, IN</t>
        </is>
      </c>
      <c r="D39" t="inlineStr">
        <is>
          <t>Port Tangier Mediterranee, MA</t>
        </is>
      </c>
      <c r="E39" t="n">
        <v>38</v>
      </c>
      <c r="F39" t="n">
        <v>2355</v>
      </c>
      <c r="G39" t="n">
        <v>23</v>
      </c>
      <c r="H39" t="n">
        <v>0</v>
      </c>
    </row>
    <row r="40">
      <c r="A40" t="inlineStr">
        <is>
          <t>Cochin, IN|Poti, GE</t>
        </is>
      </c>
      <c r="B40" t="inlineStr">
        <is>
          <t>India</t>
        </is>
      </c>
      <c r="C40" t="inlineStr">
        <is>
          <t>Cochin, IN</t>
        </is>
      </c>
      <c r="D40" t="inlineStr">
        <is>
          <t>Poti, GE</t>
        </is>
      </c>
      <c r="E40" t="n">
        <v>59</v>
      </c>
      <c r="F40" t="n">
        <v>3055</v>
      </c>
      <c r="G40" t="n">
        <v>27</v>
      </c>
      <c r="H40" t="n">
        <v>1</v>
      </c>
    </row>
    <row r="41">
      <c r="A41" t="inlineStr">
        <is>
          <t>Cochin, IN|Salerno, IT</t>
        </is>
      </c>
      <c r="B41" t="inlineStr">
        <is>
          <t>India</t>
        </is>
      </c>
      <c r="C41" t="inlineStr">
        <is>
          <t>Cochin, IN</t>
        </is>
      </c>
      <c r="D41" t="inlineStr">
        <is>
          <t>Salerno, IT</t>
        </is>
      </c>
      <c r="E41" t="n">
        <v>44</v>
      </c>
      <c r="F41" t="n">
        <v>2857</v>
      </c>
      <c r="G41" t="n">
        <v>23</v>
      </c>
      <c r="H41" t="n">
        <v>0</v>
      </c>
    </row>
    <row r="42">
      <c r="A42" t="inlineStr">
        <is>
          <t>Cochin, IN|Southampton, GB</t>
        </is>
      </c>
      <c r="B42" t="inlineStr">
        <is>
          <t>India</t>
        </is>
      </c>
      <c r="C42" t="inlineStr">
        <is>
          <t>Cochin, IN</t>
        </is>
      </c>
      <c r="D42" t="inlineStr">
        <is>
          <t>Southampton, GB</t>
        </is>
      </c>
      <c r="E42" t="n">
        <v>45</v>
      </c>
      <c r="F42" t="n">
        <v>3105</v>
      </c>
      <c r="G42" t="n">
        <v>26</v>
      </c>
      <c r="H42" t="n">
        <v>1</v>
      </c>
    </row>
    <row r="43">
      <c r="A43" t="inlineStr">
        <is>
          <t>Cochin, IN|Tarragona, ES</t>
        </is>
      </c>
      <c r="B43" t="inlineStr">
        <is>
          <t>India</t>
        </is>
      </c>
      <c r="C43" t="inlineStr">
        <is>
          <t>Cochin, IN</t>
        </is>
      </c>
      <c r="D43" t="inlineStr">
        <is>
          <t>Tarragona, ES</t>
        </is>
      </c>
      <c r="E43" t="n">
        <v>52</v>
      </c>
      <c r="F43" t="n">
        <v>2504</v>
      </c>
      <c r="G43" t="n">
        <v>23</v>
      </c>
      <c r="H43" t="n">
        <v>0</v>
      </c>
    </row>
    <row r="44">
      <c r="A44" t="inlineStr">
        <is>
          <t>Cochin, IN|Tenerife, ES</t>
        </is>
      </c>
      <c r="B44" t="inlineStr">
        <is>
          <t>India</t>
        </is>
      </c>
      <c r="C44" t="inlineStr">
        <is>
          <t>Cochin, IN</t>
        </is>
      </c>
      <c r="D44" t="inlineStr">
        <is>
          <t>Tenerife, ES</t>
        </is>
      </c>
      <c r="E44" t="n">
        <v>42</v>
      </c>
      <c r="F44" t="n">
        <v>3722</v>
      </c>
      <c r="G44" t="n">
        <v>24</v>
      </c>
      <c r="H44" t="n">
        <v>1</v>
      </c>
    </row>
    <row r="45">
      <c r="A45" t="inlineStr">
        <is>
          <t>Cochin, IN|Tunis, TN</t>
        </is>
      </c>
      <c r="B45" t="inlineStr">
        <is>
          <t>India</t>
        </is>
      </c>
      <c r="C45" t="inlineStr">
        <is>
          <t>Cochin, IN</t>
        </is>
      </c>
      <c r="D45" t="inlineStr">
        <is>
          <t>Tunis, TN</t>
        </is>
      </c>
      <c r="E45" t="n">
        <v>52</v>
      </c>
      <c r="F45" t="n">
        <v>5355</v>
      </c>
      <c r="G45" t="n">
        <v>23</v>
      </c>
      <c r="H45" t="n">
        <v>0</v>
      </c>
    </row>
    <row r="46">
      <c r="A46" t="inlineStr">
        <is>
          <t>Cochin, IN|Valencia, ES</t>
        </is>
      </c>
      <c r="B46" t="inlineStr">
        <is>
          <t>India</t>
        </is>
      </c>
      <c r="C46" t="inlineStr">
        <is>
          <t>Cochin, IN</t>
        </is>
      </c>
      <c r="D46" t="inlineStr">
        <is>
          <t>Valencia, ES</t>
        </is>
      </c>
      <c r="E46" t="n">
        <v>42</v>
      </c>
      <c r="F46" t="n">
        <v>2504</v>
      </c>
      <c r="G46" t="n">
        <v>24</v>
      </c>
      <c r="H46" t="n">
        <v>1</v>
      </c>
    </row>
    <row r="47">
      <c r="A47" t="inlineStr">
        <is>
          <t>Cochin, IN|Venezia, IT</t>
        </is>
      </c>
      <c r="B47" t="inlineStr">
        <is>
          <t>India</t>
        </is>
      </c>
      <c r="C47" t="inlineStr">
        <is>
          <t>Cochin, IN</t>
        </is>
      </c>
      <c r="D47" t="inlineStr">
        <is>
          <t>Venezia, IT</t>
        </is>
      </c>
      <c r="E47" t="n">
        <v>73</v>
      </c>
      <c r="F47" t="n">
        <v>2557</v>
      </c>
      <c r="G47" t="n">
        <v>23</v>
      </c>
      <c r="H47" t="n">
        <v>0</v>
      </c>
    </row>
    <row r="48">
      <c r="A48" t="inlineStr">
        <is>
          <t>Cochin, IN|Veracruz, MX</t>
        </is>
      </c>
      <c r="B48" t="inlineStr">
        <is>
          <t>India</t>
        </is>
      </c>
      <c r="C48" t="inlineStr">
        <is>
          <t>Cochin, IN</t>
        </is>
      </c>
      <c r="D48" t="inlineStr">
        <is>
          <t>Veracruz, MX</t>
        </is>
      </c>
      <c r="E48" t="n">
        <v>58</v>
      </c>
      <c r="F48" t="n">
        <v>2585</v>
      </c>
      <c r="G48" t="n">
        <v>23</v>
      </c>
      <c r="H48" t="n">
        <v>1</v>
      </c>
    </row>
    <row r="49">
      <c r="A49" t="inlineStr">
        <is>
          <t>Colombo, LK|Agadir, MA</t>
        </is>
      </c>
      <c r="B49" t="inlineStr">
        <is>
          <t>Sri Lanka</t>
        </is>
      </c>
      <c r="C49" t="inlineStr">
        <is>
          <t>Colombo, LK</t>
        </is>
      </c>
      <c r="D49" t="inlineStr">
        <is>
          <t>Agadir, MA</t>
        </is>
      </c>
      <c r="E49" t="n">
        <v>35</v>
      </c>
      <c r="F49" t="n">
        <v>3206</v>
      </c>
      <c r="G49" t="n">
        <v>27</v>
      </c>
      <c r="H49" t="n">
        <v>1</v>
      </c>
    </row>
    <row r="50">
      <c r="A50" t="inlineStr">
        <is>
          <t>Colombo, LK|Alexandria, EG</t>
        </is>
      </c>
      <c r="B50" t="inlineStr">
        <is>
          <t>Sri Lanka</t>
        </is>
      </c>
      <c r="C50" t="inlineStr">
        <is>
          <t>Colombo, LK</t>
        </is>
      </c>
      <c r="D50" t="inlineStr">
        <is>
          <t>Alexandria, EG</t>
        </is>
      </c>
      <c r="E50" t="n">
        <v>48</v>
      </c>
      <c r="F50" t="n">
        <v>2114</v>
      </c>
      <c r="G50" t="n">
        <v>25</v>
      </c>
      <c r="H50" t="n">
        <v>1</v>
      </c>
    </row>
    <row r="51">
      <c r="A51" t="inlineStr">
        <is>
          <t>Colombo, LK|Algeciras, ES</t>
        </is>
      </c>
      <c r="B51" t="inlineStr">
        <is>
          <t>Sri Lanka</t>
        </is>
      </c>
      <c r="C51" t="inlineStr">
        <is>
          <t>Colombo, LK</t>
        </is>
      </c>
      <c r="D51" t="inlineStr">
        <is>
          <t>Algeciras, ES</t>
        </is>
      </c>
      <c r="E51" t="n">
        <v>24</v>
      </c>
      <c r="F51" t="n">
        <v>2023</v>
      </c>
      <c r="G51" t="n">
        <v>24</v>
      </c>
      <c r="H51" t="n">
        <v>1</v>
      </c>
    </row>
    <row r="52">
      <c r="A52" t="inlineStr">
        <is>
          <t>Colombo, LK|Almeria, ES</t>
        </is>
      </c>
      <c r="B52" t="inlineStr">
        <is>
          <t>Sri Lanka</t>
        </is>
      </c>
      <c r="C52" t="inlineStr">
        <is>
          <t>Colombo, LK</t>
        </is>
      </c>
      <c r="D52" t="inlineStr">
        <is>
          <t>Almeria, ES</t>
        </is>
      </c>
      <c r="E52" t="n">
        <v>32</v>
      </c>
      <c r="F52" t="n">
        <v>2578</v>
      </c>
      <c r="G52" t="n">
        <v>24</v>
      </c>
      <c r="H52" t="n">
        <v>1</v>
      </c>
    </row>
    <row r="53">
      <c r="A53" t="inlineStr">
        <is>
          <t>Colombo, LK|Altamira, MX</t>
        </is>
      </c>
      <c r="B53" t="inlineStr">
        <is>
          <t>Sri Lanka</t>
        </is>
      </c>
      <c r="C53" t="inlineStr">
        <is>
          <t>Colombo, LK</t>
        </is>
      </c>
      <c r="D53" t="inlineStr">
        <is>
          <t>Altamira, MX</t>
        </is>
      </c>
      <c r="E53" t="n">
        <v>51</v>
      </c>
      <c r="F53" t="n">
        <v>2104</v>
      </c>
      <c r="G53" t="n">
        <v>23</v>
      </c>
      <c r="H53" t="n">
        <v>1</v>
      </c>
    </row>
    <row r="54">
      <c r="A54" t="inlineStr">
        <is>
          <t>Colombo, LK|Ashdod, IL</t>
        </is>
      </c>
      <c r="B54" t="inlineStr">
        <is>
          <t>Sri Lanka</t>
        </is>
      </c>
      <c r="C54" t="inlineStr">
        <is>
          <t>Colombo, LK</t>
        </is>
      </c>
      <c r="D54" t="inlineStr">
        <is>
          <t>Ashdod, IL</t>
        </is>
      </c>
      <c r="E54" t="n">
        <v>44</v>
      </c>
      <c r="F54" t="n">
        <v>1864</v>
      </c>
      <c r="G54" t="n">
        <v>25</v>
      </c>
      <c r="H54" t="n">
        <v>1</v>
      </c>
    </row>
    <row r="55">
      <c r="A55" t="inlineStr">
        <is>
          <t>Colombo, LK|Balboa, PA</t>
        </is>
      </c>
      <c r="B55" t="inlineStr">
        <is>
          <t>Sri Lanka</t>
        </is>
      </c>
      <c r="C55" t="inlineStr">
        <is>
          <t>Colombo, LK</t>
        </is>
      </c>
      <c r="D55" t="inlineStr">
        <is>
          <t>Balboa, PA</t>
        </is>
      </c>
      <c r="E55" t="n">
        <v>52</v>
      </c>
      <c r="F55" t="n">
        <v>2424</v>
      </c>
      <c r="G55" t="n">
        <v>23</v>
      </c>
      <c r="H55" t="n">
        <v>0</v>
      </c>
    </row>
    <row r="56">
      <c r="A56" t="inlineStr">
        <is>
          <t>Colombo, LK|Barcelona, ES</t>
        </is>
      </c>
      <c r="B56" t="inlineStr">
        <is>
          <t>Sri Lanka</t>
        </is>
      </c>
      <c r="C56" t="inlineStr">
        <is>
          <t>Colombo, LK</t>
        </is>
      </c>
      <c r="D56" t="inlineStr">
        <is>
          <t>Barcelona, ES</t>
        </is>
      </c>
      <c r="E56" t="n">
        <v>45</v>
      </c>
      <c r="F56" t="n">
        <v>2023</v>
      </c>
      <c r="G56" t="n">
        <v>24</v>
      </c>
      <c r="H56" t="n">
        <v>1</v>
      </c>
    </row>
    <row r="57">
      <c r="A57" t="inlineStr">
        <is>
          <t>Colombo, LK|Belfast Northern Ireland, GB</t>
        </is>
      </c>
      <c r="B57" t="inlineStr">
        <is>
          <t>Sri Lanka</t>
        </is>
      </c>
      <c r="C57" t="inlineStr">
        <is>
          <t>Colombo, LK</t>
        </is>
      </c>
      <c r="D57" t="inlineStr">
        <is>
          <t>Belfast Northern Ireland, GB</t>
        </is>
      </c>
      <c r="E57" t="n">
        <v>38</v>
      </c>
      <c r="F57" t="n">
        <v>2574</v>
      </c>
      <c r="G57" t="n">
        <v>23</v>
      </c>
      <c r="H57" t="n">
        <v>0</v>
      </c>
    </row>
    <row r="58">
      <c r="A58" t="inlineStr">
        <is>
          <t>Colombo, LK|Bilbao, ES</t>
        </is>
      </c>
      <c r="B58" t="inlineStr">
        <is>
          <t>Sri Lanka</t>
        </is>
      </c>
      <c r="C58" t="inlineStr">
        <is>
          <t>Colombo, LK</t>
        </is>
      </c>
      <c r="D58" t="inlineStr">
        <is>
          <t>Bilbao, ES</t>
        </is>
      </c>
      <c r="E58" t="n">
        <v>49</v>
      </c>
      <c r="F58" t="n">
        <v>2628</v>
      </c>
      <c r="G58" t="n">
        <v>24</v>
      </c>
      <c r="H58" t="n">
        <v>1</v>
      </c>
    </row>
    <row r="59">
      <c r="A59" t="inlineStr">
        <is>
          <t>Colombo, LK|Burgas, BG</t>
        </is>
      </c>
      <c r="B59" t="inlineStr">
        <is>
          <t>Sri Lanka</t>
        </is>
      </c>
      <c r="C59" t="inlineStr">
        <is>
          <t>Colombo, LK</t>
        </is>
      </c>
      <c r="D59" t="inlineStr">
        <is>
          <t>Burgas, BG</t>
        </is>
      </c>
      <c r="E59" t="n">
        <v>68</v>
      </c>
      <c r="F59" t="n">
        <v>2752</v>
      </c>
      <c r="G59" t="n">
        <v>24</v>
      </c>
      <c r="H59" t="n">
        <v>1</v>
      </c>
    </row>
    <row r="60">
      <c r="A60" t="inlineStr">
        <is>
          <t>Colombo, LK|Cagliari, IT</t>
        </is>
      </c>
      <c r="B60" t="inlineStr">
        <is>
          <t>Sri Lanka</t>
        </is>
      </c>
      <c r="C60" t="inlineStr">
        <is>
          <t>Colombo, LK</t>
        </is>
      </c>
      <c r="D60" t="inlineStr">
        <is>
          <t>Cagliari, IT</t>
        </is>
      </c>
      <c r="E60" t="n">
        <v>36</v>
      </c>
      <c r="F60" t="n">
        <v>2816</v>
      </c>
      <c r="G60" t="n">
        <v>23</v>
      </c>
      <c r="H60" t="n">
        <v>0</v>
      </c>
    </row>
    <row r="61">
      <c r="A61" t="inlineStr">
        <is>
          <t>Colombo, LK|Callao, PE</t>
        </is>
      </c>
      <c r="B61" t="inlineStr">
        <is>
          <t>Sri Lanka</t>
        </is>
      </c>
      <c r="C61" t="inlineStr">
        <is>
          <t>Colombo, LK</t>
        </is>
      </c>
      <c r="D61" t="inlineStr">
        <is>
          <t>Callao, PE</t>
        </is>
      </c>
      <c r="E61" t="n">
        <v>56</v>
      </c>
      <c r="F61" t="n">
        <v>2124</v>
      </c>
      <c r="G61" t="n">
        <v>25</v>
      </c>
      <c r="H61" t="n">
        <v>1</v>
      </c>
    </row>
    <row r="62">
      <c r="A62" t="inlineStr">
        <is>
          <t>Colombo, LK|Cartagena, CO</t>
        </is>
      </c>
      <c r="B62" t="inlineStr">
        <is>
          <t>Sri Lanka</t>
        </is>
      </c>
      <c r="C62" t="inlineStr">
        <is>
          <t>Colombo, LK</t>
        </is>
      </c>
      <c r="D62" t="inlineStr">
        <is>
          <t>Cartagena, CO</t>
        </is>
      </c>
      <c r="E62" t="n">
        <v>58</v>
      </c>
      <c r="F62" t="n">
        <v>2424</v>
      </c>
      <c r="G62" t="n">
        <v>23</v>
      </c>
      <c r="H62" t="n">
        <v>0</v>
      </c>
    </row>
    <row r="63">
      <c r="A63" t="inlineStr">
        <is>
          <t>Colombo, LK|Cartagena, ES</t>
        </is>
      </c>
      <c r="B63" t="inlineStr">
        <is>
          <t>Sri Lanka</t>
        </is>
      </c>
      <c r="C63" t="inlineStr">
        <is>
          <t>Colombo, LK</t>
        </is>
      </c>
      <c r="D63" t="inlineStr">
        <is>
          <t>Cartagena, ES</t>
        </is>
      </c>
      <c r="E63" t="n">
        <v>0</v>
      </c>
      <c r="F63" t="n">
        <v>2764</v>
      </c>
      <c r="G63" t="n">
        <v>24</v>
      </c>
      <c r="H63" t="n">
        <v>1</v>
      </c>
    </row>
    <row r="64">
      <c r="A64" t="inlineStr">
        <is>
          <t>Colombo, LK|Casablanca, MA</t>
        </is>
      </c>
      <c r="B64" t="inlineStr">
        <is>
          <t>Sri Lanka</t>
        </is>
      </c>
      <c r="C64" t="inlineStr">
        <is>
          <t>Colombo, LK</t>
        </is>
      </c>
      <c r="D64" t="inlineStr">
        <is>
          <t>Casablanca, MA</t>
        </is>
      </c>
      <c r="E64" t="n">
        <v>34</v>
      </c>
      <c r="F64" t="n">
        <v>2374</v>
      </c>
      <c r="G64" t="n">
        <v>27</v>
      </c>
      <c r="H64" t="n">
        <v>1</v>
      </c>
    </row>
    <row r="65">
      <c r="A65" t="inlineStr">
        <is>
          <t>Colombo, LK|Dublin, IE</t>
        </is>
      </c>
      <c r="B65" t="inlineStr">
        <is>
          <t>Sri Lanka</t>
        </is>
      </c>
      <c r="C65" t="inlineStr">
        <is>
          <t>Colombo, LK</t>
        </is>
      </c>
      <c r="D65" t="inlineStr">
        <is>
          <t>Dublin, IE</t>
        </is>
      </c>
      <c r="E65" t="n">
        <v>38</v>
      </c>
      <c r="F65" t="n">
        <v>3217</v>
      </c>
      <c r="G65" t="n">
        <v>23</v>
      </c>
      <c r="H65" t="n">
        <v>0</v>
      </c>
    </row>
    <row r="66">
      <c r="A66" t="inlineStr">
        <is>
          <t>Colombo, LK|Genoa Vado Ligure, IT</t>
        </is>
      </c>
      <c r="B66" t="inlineStr">
        <is>
          <t>Sri Lanka</t>
        </is>
      </c>
      <c r="C66" t="inlineStr">
        <is>
          <t>Colombo, LK</t>
        </is>
      </c>
      <c r="D66" t="inlineStr">
        <is>
          <t>Genoa Vado Ligure, IT</t>
        </is>
      </c>
      <c r="E66" t="n">
        <v>38</v>
      </c>
      <c r="F66" t="n">
        <v>2076</v>
      </c>
      <c r="G66" t="n">
        <v>23</v>
      </c>
      <c r="H66" t="n">
        <v>0</v>
      </c>
    </row>
    <row r="67">
      <c r="A67" t="inlineStr">
        <is>
          <t>Colombo, LK|Gijon, ES</t>
        </is>
      </c>
      <c r="B67" t="inlineStr">
        <is>
          <t>Sri Lanka</t>
        </is>
      </c>
      <c r="C67" t="inlineStr">
        <is>
          <t>Colombo, LK</t>
        </is>
      </c>
      <c r="D67" t="inlineStr">
        <is>
          <t>Gijon, ES</t>
        </is>
      </c>
      <c r="E67" t="n">
        <v>36</v>
      </c>
      <c r="F67" t="n">
        <v>2778</v>
      </c>
      <c r="G67" t="n">
        <v>23</v>
      </c>
      <c r="H67" t="n">
        <v>0</v>
      </c>
    </row>
    <row r="68">
      <c r="A68" t="inlineStr">
        <is>
          <t>Colombo, LK|Grangemouth, GB</t>
        </is>
      </c>
      <c r="B68" t="inlineStr">
        <is>
          <t>Sri Lanka</t>
        </is>
      </c>
      <c r="C68" t="inlineStr">
        <is>
          <t>Colombo, LK</t>
        </is>
      </c>
      <c r="D68" t="inlineStr">
        <is>
          <t>Grangemouth, GB</t>
        </is>
      </c>
      <c r="E68" t="n">
        <v>36</v>
      </c>
      <c r="F68" t="n">
        <v>2374</v>
      </c>
      <c r="G68" t="n">
        <v>23</v>
      </c>
      <c r="H68" t="n">
        <v>0</v>
      </c>
    </row>
    <row r="69">
      <c r="A69" t="inlineStr">
        <is>
          <t>Colombo, LK|Guayaquil-Posorja, EC</t>
        </is>
      </c>
      <c r="B69" t="inlineStr">
        <is>
          <t>Sri Lanka</t>
        </is>
      </c>
      <c r="C69" t="inlineStr">
        <is>
          <t>Colombo, LK</t>
        </is>
      </c>
      <c r="D69" t="inlineStr">
        <is>
          <t>Guayaquil-Posorja, EC</t>
        </is>
      </c>
      <c r="E69" t="n">
        <v>58</v>
      </c>
      <c r="F69" t="n">
        <v>2174</v>
      </c>
      <c r="G69" t="n">
        <v>25</v>
      </c>
      <c r="H69" t="n">
        <v>1</v>
      </c>
    </row>
    <row r="70">
      <c r="A70" t="inlineStr">
        <is>
          <t>Colombo, LK|Haifa, IL</t>
        </is>
      </c>
      <c r="B70" t="inlineStr">
        <is>
          <t>Sri Lanka</t>
        </is>
      </c>
      <c r="C70" t="inlineStr">
        <is>
          <t>Colombo, LK</t>
        </is>
      </c>
      <c r="D70" t="inlineStr">
        <is>
          <t>Haifa, IL</t>
        </is>
      </c>
      <c r="E70" t="n">
        <v>45</v>
      </c>
      <c r="F70" t="n">
        <v>2164</v>
      </c>
      <c r="G70" t="n">
        <v>23</v>
      </c>
      <c r="H70" t="n">
        <v>0</v>
      </c>
    </row>
    <row r="71">
      <c r="A71" t="inlineStr">
        <is>
          <t>Colombo, LK|Kingston, JM</t>
        </is>
      </c>
      <c r="B71" t="inlineStr">
        <is>
          <t>Sri Lanka</t>
        </is>
      </c>
      <c r="C71" t="inlineStr">
        <is>
          <t>Colombo, LK</t>
        </is>
      </c>
      <c r="D71" t="inlineStr">
        <is>
          <t>Kingston, JM</t>
        </is>
      </c>
      <c r="E71" t="n">
        <v>52</v>
      </c>
      <c r="F71" t="n">
        <v>3317</v>
      </c>
      <c r="G71" t="n">
        <v>23</v>
      </c>
      <c r="H71" t="n">
        <v>0</v>
      </c>
    </row>
    <row r="72">
      <c r="A72" t="inlineStr">
        <is>
          <t>Colombo, LK|La Spezia, IT</t>
        </is>
      </c>
      <c r="B72" t="inlineStr">
        <is>
          <t>Sri Lanka</t>
        </is>
      </c>
      <c r="C72" t="inlineStr">
        <is>
          <t>Colombo, LK</t>
        </is>
      </c>
      <c r="D72" t="inlineStr">
        <is>
          <t>La Spezia, IT</t>
        </is>
      </c>
      <c r="E72" t="n">
        <v>32</v>
      </c>
      <c r="F72" t="n">
        <v>2076</v>
      </c>
      <c r="G72" t="n">
        <v>23</v>
      </c>
      <c r="H72" t="n">
        <v>0</v>
      </c>
    </row>
    <row r="73">
      <c r="A73" t="inlineStr">
        <is>
          <t>Colombo, LK|Las Palmas de Gran Canaria, ES</t>
        </is>
      </c>
      <c r="B73" t="inlineStr">
        <is>
          <t>Sri Lanka</t>
        </is>
      </c>
      <c r="C73" t="inlineStr">
        <is>
          <t>Colombo, LK</t>
        </is>
      </c>
      <c r="D73" t="inlineStr">
        <is>
          <t>Las Palmas de Gran Canaria, ES</t>
        </is>
      </c>
      <c r="E73" t="n">
        <v>33</v>
      </c>
      <c r="F73" t="n">
        <v>3108</v>
      </c>
      <c r="G73" t="n">
        <v>24</v>
      </c>
      <c r="H73" t="n">
        <v>1</v>
      </c>
    </row>
    <row r="74">
      <c r="A74" t="inlineStr">
        <is>
          <t>Colombo, LK|Leghorn, IT</t>
        </is>
      </c>
      <c r="B74" t="inlineStr">
        <is>
          <t>Sri Lanka</t>
        </is>
      </c>
      <c r="C74" t="inlineStr">
        <is>
          <t>Colombo, LK</t>
        </is>
      </c>
      <c r="D74" t="inlineStr">
        <is>
          <t>Leghorn, IT</t>
        </is>
      </c>
      <c r="E74" t="n">
        <v>30</v>
      </c>
      <c r="F74" t="n">
        <v>2076</v>
      </c>
      <c r="G74" t="n">
        <v>23</v>
      </c>
      <c r="H74" t="n">
        <v>0</v>
      </c>
    </row>
    <row r="75">
      <c r="A75" t="inlineStr">
        <is>
          <t>Colombo, LK|Leixoes, PT</t>
        </is>
      </c>
      <c r="B75" t="inlineStr">
        <is>
          <t>Sri Lanka</t>
        </is>
      </c>
      <c r="C75" t="inlineStr">
        <is>
          <t>Colombo, LK</t>
        </is>
      </c>
      <c r="D75" t="inlineStr">
        <is>
          <t>Leixoes, PT</t>
        </is>
      </c>
      <c r="E75" t="n">
        <v>34</v>
      </c>
      <c r="F75" t="n">
        <v>2743</v>
      </c>
      <c r="G75" t="n">
        <v>25</v>
      </c>
      <c r="H75" t="n">
        <v>1</v>
      </c>
    </row>
    <row r="76">
      <c r="A76" t="inlineStr">
        <is>
          <t>Colombo, LK|Lisbon, PT</t>
        </is>
      </c>
      <c r="B76" t="inlineStr">
        <is>
          <t>Sri Lanka</t>
        </is>
      </c>
      <c r="C76" t="inlineStr">
        <is>
          <t>Colombo, LK</t>
        </is>
      </c>
      <c r="D76" t="inlineStr">
        <is>
          <t>Lisbon, PT</t>
        </is>
      </c>
      <c r="E76" t="n">
        <v>33</v>
      </c>
      <c r="F76" t="n">
        <v>2223</v>
      </c>
      <c r="G76" t="n">
        <v>25</v>
      </c>
      <c r="H76" t="n">
        <v>1</v>
      </c>
    </row>
    <row r="77">
      <c r="A77" t="inlineStr">
        <is>
          <t>Colombo, LK|Liverpool, GB</t>
        </is>
      </c>
      <c r="B77" t="inlineStr">
        <is>
          <t>Sri Lanka</t>
        </is>
      </c>
      <c r="C77" t="inlineStr">
        <is>
          <t>Colombo, LK</t>
        </is>
      </c>
      <c r="D77" t="inlineStr">
        <is>
          <t>Liverpool, GB</t>
        </is>
      </c>
      <c r="E77" t="n">
        <v>39</v>
      </c>
      <c r="F77" t="n">
        <v>2934</v>
      </c>
      <c r="G77" t="n">
        <v>23</v>
      </c>
      <c r="H77" t="n">
        <v>0</v>
      </c>
    </row>
    <row r="78">
      <c r="A78" t="inlineStr">
        <is>
          <t>Colombo, LK|London Gateway, GB</t>
        </is>
      </c>
      <c r="B78" t="inlineStr">
        <is>
          <t>Sri Lanka</t>
        </is>
      </c>
      <c r="C78" t="inlineStr">
        <is>
          <t>Colombo, LK</t>
        </is>
      </c>
      <c r="D78" t="inlineStr">
        <is>
          <t>London Gateway, GB</t>
        </is>
      </c>
      <c r="E78" t="n">
        <v>32</v>
      </c>
      <c r="F78" t="n">
        <v>1874</v>
      </c>
      <c r="G78" t="n">
        <v>26</v>
      </c>
      <c r="H78" t="n">
        <v>1</v>
      </c>
    </row>
    <row r="79">
      <c r="A79" t="inlineStr">
        <is>
          <t>Colombo, LK|Manzanillo, MX</t>
        </is>
      </c>
      <c r="B79" t="inlineStr">
        <is>
          <t>Sri Lanka</t>
        </is>
      </c>
      <c r="C79" t="inlineStr">
        <is>
          <t>Colombo, LK</t>
        </is>
      </c>
      <c r="D79" t="inlineStr">
        <is>
          <t>Manzanillo, MX</t>
        </is>
      </c>
      <c r="E79" t="n">
        <v>65</v>
      </c>
      <c r="F79" t="n">
        <v>2104</v>
      </c>
      <c r="G79" t="n">
        <v>23</v>
      </c>
      <c r="H79" t="n">
        <v>1</v>
      </c>
    </row>
    <row r="80">
      <c r="A80" t="inlineStr">
        <is>
          <t>Colombo, LK|Marin, ES</t>
        </is>
      </c>
      <c r="B80" t="inlineStr">
        <is>
          <t>Sri Lanka</t>
        </is>
      </c>
      <c r="C80" t="inlineStr">
        <is>
          <t>Colombo, LK</t>
        </is>
      </c>
      <c r="D80" t="inlineStr">
        <is>
          <t>Marin, ES</t>
        </is>
      </c>
      <c r="E80" t="n">
        <v>33</v>
      </c>
      <c r="F80" t="n">
        <v>2578</v>
      </c>
      <c r="G80" t="n">
        <v>23</v>
      </c>
      <c r="H80" t="n">
        <v>0</v>
      </c>
    </row>
    <row r="81">
      <c r="A81" t="inlineStr">
        <is>
          <t>Colombo, LK|Mersin, TR</t>
        </is>
      </c>
      <c r="B81" t="inlineStr">
        <is>
          <t>Sri Lanka</t>
        </is>
      </c>
      <c r="C81" t="inlineStr">
        <is>
          <t>Colombo, LK</t>
        </is>
      </c>
      <c r="D81" t="inlineStr">
        <is>
          <t>Mersin, TR</t>
        </is>
      </c>
      <c r="E81" t="n">
        <v>38</v>
      </c>
      <c r="F81" t="n">
        <v>1874</v>
      </c>
      <c r="G81" t="n">
        <v>25</v>
      </c>
      <c r="H81" t="n">
        <v>1</v>
      </c>
    </row>
    <row r="82">
      <c r="A82" t="inlineStr">
        <is>
          <t>Colombo, LK|Naples, IT</t>
        </is>
      </c>
      <c r="B82" t="inlineStr">
        <is>
          <t>Sri Lanka</t>
        </is>
      </c>
      <c r="C82" t="inlineStr">
        <is>
          <t>Colombo, LK</t>
        </is>
      </c>
      <c r="D82" t="inlineStr">
        <is>
          <t>Naples, IT</t>
        </is>
      </c>
      <c r="E82" t="n">
        <v>33</v>
      </c>
      <c r="F82" t="n">
        <v>2176</v>
      </c>
      <c r="G82" t="n">
        <v>23</v>
      </c>
      <c r="H82" t="n">
        <v>0</v>
      </c>
    </row>
    <row r="83">
      <c r="A83" t="inlineStr">
        <is>
          <t>Colombo, LK|Paita, PE</t>
        </is>
      </c>
      <c r="B83" t="inlineStr">
        <is>
          <t>Sri Lanka</t>
        </is>
      </c>
      <c r="C83" t="inlineStr">
        <is>
          <t>Colombo, LK</t>
        </is>
      </c>
      <c r="D83" t="inlineStr">
        <is>
          <t>Paita, PE</t>
        </is>
      </c>
      <c r="E83" t="n">
        <v>66</v>
      </c>
      <c r="F83" t="n">
        <v>2874</v>
      </c>
      <c r="G83" t="n">
        <v>23</v>
      </c>
      <c r="H83" t="n">
        <v>0</v>
      </c>
    </row>
    <row r="84">
      <c r="A84" t="inlineStr">
        <is>
          <t>Colombo, LK|Piraeus, GR</t>
        </is>
      </c>
      <c r="B84" t="inlineStr">
        <is>
          <t>Sri Lanka</t>
        </is>
      </c>
      <c r="C84" t="inlineStr">
        <is>
          <t>Colombo, LK</t>
        </is>
      </c>
      <c r="D84" t="inlineStr">
        <is>
          <t>Piraeus, GR</t>
        </is>
      </c>
      <c r="E84" t="n">
        <v>30</v>
      </c>
      <c r="F84" t="n">
        <v>2083</v>
      </c>
      <c r="G84" t="n">
        <v>25</v>
      </c>
      <c r="H84" t="n">
        <v>1</v>
      </c>
    </row>
    <row r="85">
      <c r="A85" t="inlineStr">
        <is>
          <t>Colombo, LK|Port Elizabeth, ZA</t>
        </is>
      </c>
      <c r="B85" t="inlineStr">
        <is>
          <t>Sri Lanka</t>
        </is>
      </c>
      <c r="C85" t="inlineStr">
        <is>
          <t>Colombo, LK</t>
        </is>
      </c>
      <c r="D85" t="inlineStr">
        <is>
          <t>Port Elizabeth, ZA</t>
        </is>
      </c>
      <c r="E85" t="n">
        <v>46</v>
      </c>
      <c r="F85" t="n">
        <v>3524</v>
      </c>
      <c r="G85" t="n">
        <v>23</v>
      </c>
      <c r="H85" t="n">
        <v>0</v>
      </c>
    </row>
    <row r="86">
      <c r="A86" t="inlineStr">
        <is>
          <t>Colombo, LK|Port Tangier Mediterranee, MA</t>
        </is>
      </c>
      <c r="B86" t="inlineStr">
        <is>
          <t>Sri Lanka</t>
        </is>
      </c>
      <c r="C86" t="inlineStr">
        <is>
          <t>Colombo, LK</t>
        </is>
      </c>
      <c r="D86" t="inlineStr">
        <is>
          <t>Port Tangier Mediterranee, MA</t>
        </is>
      </c>
      <c r="E86" t="n">
        <v>28</v>
      </c>
      <c r="F86" t="n">
        <v>1874</v>
      </c>
      <c r="G86" t="n">
        <v>23</v>
      </c>
      <c r="H86" t="n">
        <v>0</v>
      </c>
    </row>
    <row r="87">
      <c r="A87" t="inlineStr">
        <is>
          <t>Colombo, LK|Poti, GE</t>
        </is>
      </c>
      <c r="B87" t="inlineStr">
        <is>
          <t>Sri Lanka</t>
        </is>
      </c>
      <c r="C87" t="inlineStr">
        <is>
          <t>Colombo, LK</t>
        </is>
      </c>
      <c r="D87" t="inlineStr">
        <is>
          <t>Poti, GE</t>
        </is>
      </c>
      <c r="E87" t="n">
        <v>63</v>
      </c>
      <c r="F87" t="n">
        <v>2574</v>
      </c>
      <c r="G87" t="n">
        <v>27</v>
      </c>
      <c r="H87" t="n">
        <v>1</v>
      </c>
    </row>
    <row r="88">
      <c r="A88" t="inlineStr">
        <is>
          <t>Colombo, LK|Salerno, IT</t>
        </is>
      </c>
      <c r="B88" t="inlineStr">
        <is>
          <t>Sri Lanka</t>
        </is>
      </c>
      <c r="C88" t="inlineStr">
        <is>
          <t>Colombo, LK</t>
        </is>
      </c>
      <c r="D88" t="inlineStr">
        <is>
          <t>Salerno, IT</t>
        </is>
      </c>
      <c r="E88" t="n">
        <v>34</v>
      </c>
      <c r="F88" t="n">
        <v>2376</v>
      </c>
      <c r="G88" t="n">
        <v>23</v>
      </c>
      <c r="H88" t="n">
        <v>0</v>
      </c>
    </row>
    <row r="89">
      <c r="A89" t="inlineStr">
        <is>
          <t>Colombo, LK|Southampton, GB</t>
        </is>
      </c>
      <c r="B89" t="inlineStr">
        <is>
          <t>Sri Lanka</t>
        </is>
      </c>
      <c r="C89" t="inlineStr">
        <is>
          <t>Colombo, LK</t>
        </is>
      </c>
      <c r="D89" t="inlineStr">
        <is>
          <t>Southampton, GB</t>
        </is>
      </c>
      <c r="E89" t="n">
        <v>35</v>
      </c>
      <c r="F89" t="n">
        <v>2624</v>
      </c>
      <c r="G89" t="n">
        <v>26</v>
      </c>
      <c r="H89" t="n">
        <v>1</v>
      </c>
    </row>
    <row r="90">
      <c r="A90" t="inlineStr">
        <is>
          <t>Colombo, LK|Tarragona, ES</t>
        </is>
      </c>
      <c r="B90" t="inlineStr">
        <is>
          <t>Sri Lanka</t>
        </is>
      </c>
      <c r="C90" t="inlineStr">
        <is>
          <t>Colombo, LK</t>
        </is>
      </c>
      <c r="D90" t="inlineStr">
        <is>
          <t>Tarragona, ES</t>
        </is>
      </c>
      <c r="E90" t="n">
        <v>47</v>
      </c>
      <c r="F90" t="n">
        <v>2023</v>
      </c>
      <c r="G90" t="n">
        <v>23</v>
      </c>
      <c r="H90" t="n">
        <v>0</v>
      </c>
    </row>
    <row r="91">
      <c r="A91" t="inlineStr">
        <is>
          <t>Colombo, LK|Tenerife, ES</t>
        </is>
      </c>
      <c r="B91" t="inlineStr">
        <is>
          <t>Sri Lanka</t>
        </is>
      </c>
      <c r="C91" t="inlineStr">
        <is>
          <t>Colombo, LK</t>
        </is>
      </c>
      <c r="D91" t="inlineStr">
        <is>
          <t>Tenerife, ES</t>
        </is>
      </c>
      <c r="E91" t="n">
        <v>32</v>
      </c>
      <c r="F91" t="n">
        <v>3241</v>
      </c>
      <c r="G91" t="n">
        <v>24</v>
      </c>
      <c r="H91" t="n">
        <v>1</v>
      </c>
    </row>
    <row r="92">
      <c r="A92" t="inlineStr">
        <is>
          <t>Colombo, LK|Tunis, TN</t>
        </is>
      </c>
      <c r="B92" t="inlineStr">
        <is>
          <t>Sri Lanka</t>
        </is>
      </c>
      <c r="C92" t="inlineStr">
        <is>
          <t>Colombo, LK</t>
        </is>
      </c>
      <c r="D92" t="inlineStr">
        <is>
          <t>Tunis, TN</t>
        </is>
      </c>
      <c r="E92" t="n">
        <v>41</v>
      </c>
      <c r="F92" t="n">
        <v>4874</v>
      </c>
      <c r="G92" t="n">
        <v>23</v>
      </c>
      <c r="H92" t="n">
        <v>0</v>
      </c>
    </row>
    <row r="93">
      <c r="A93" t="inlineStr">
        <is>
          <t>Colombo, LK|Valencia, ES</t>
        </is>
      </c>
      <c r="B93" t="inlineStr">
        <is>
          <t>Sri Lanka</t>
        </is>
      </c>
      <c r="C93" t="inlineStr">
        <is>
          <t>Colombo, LK</t>
        </is>
      </c>
      <c r="D93" t="inlineStr">
        <is>
          <t>Valencia, ES</t>
        </is>
      </c>
      <c r="E93" t="n">
        <v>34</v>
      </c>
      <c r="F93" t="n">
        <v>2023</v>
      </c>
      <c r="G93" t="n">
        <v>24</v>
      </c>
      <c r="H93" t="n">
        <v>1</v>
      </c>
    </row>
    <row r="94">
      <c r="A94" t="inlineStr">
        <is>
          <t>Colombo, LK|Venezia, IT</t>
        </is>
      </c>
      <c r="B94" t="inlineStr">
        <is>
          <t>Sri Lanka</t>
        </is>
      </c>
      <c r="C94" t="inlineStr">
        <is>
          <t>Colombo, LK</t>
        </is>
      </c>
      <c r="D94" t="inlineStr">
        <is>
          <t>Venezia, IT</t>
        </is>
      </c>
      <c r="E94" t="n">
        <v>52</v>
      </c>
      <c r="F94" t="n">
        <v>2076</v>
      </c>
      <c r="G94" t="n">
        <v>23</v>
      </c>
      <c r="H94" t="n">
        <v>0</v>
      </c>
    </row>
    <row r="95">
      <c r="A95" t="inlineStr">
        <is>
          <t>Colombo, LK|Veracruz, MX</t>
        </is>
      </c>
      <c r="B95" t="inlineStr">
        <is>
          <t>Sri Lanka</t>
        </is>
      </c>
      <c r="C95" t="inlineStr">
        <is>
          <t>Colombo, LK</t>
        </is>
      </c>
      <c r="D95" t="inlineStr">
        <is>
          <t>Veracruz, MX</t>
        </is>
      </c>
      <c r="E95" t="n">
        <v>48</v>
      </c>
      <c r="F95" t="n">
        <v>2104</v>
      </c>
      <c r="G95" t="n">
        <v>23</v>
      </c>
      <c r="H95" t="n">
        <v>1</v>
      </c>
    </row>
    <row r="96">
      <c r="A96" t="inlineStr">
        <is>
          <t>Tuticorin, IN|Agadir, MA</t>
        </is>
      </c>
      <c r="B96" t="inlineStr">
        <is>
          <t>India</t>
        </is>
      </c>
      <c r="C96" t="inlineStr">
        <is>
          <t>Tuticorin, IN</t>
        </is>
      </c>
      <c r="D96" t="inlineStr">
        <is>
          <t>Agadir, MA</t>
        </is>
      </c>
      <c r="E96" t="n">
        <v>40</v>
      </c>
      <c r="F96" t="n">
        <v>3367</v>
      </c>
      <c r="G96" t="n">
        <v>27</v>
      </c>
      <c r="H96" t="n">
        <v>1</v>
      </c>
    </row>
    <row r="97">
      <c r="A97" t="inlineStr">
        <is>
          <t>Tuticorin, IN|Alexandria, EG</t>
        </is>
      </c>
      <c r="B97" t="inlineStr">
        <is>
          <t>India</t>
        </is>
      </c>
      <c r="C97" t="inlineStr">
        <is>
          <t>Tuticorin, IN</t>
        </is>
      </c>
      <c r="D97" t="inlineStr">
        <is>
          <t>Alexandria, EG</t>
        </is>
      </c>
      <c r="E97" t="n">
        <v>49</v>
      </c>
      <c r="F97" t="n">
        <v>2275</v>
      </c>
      <c r="G97" t="n">
        <v>25</v>
      </c>
      <c r="H97" t="n">
        <v>1</v>
      </c>
    </row>
    <row r="98">
      <c r="A98" t="inlineStr">
        <is>
          <t>Tuticorin, IN|Algeciras, ES</t>
        </is>
      </c>
      <c r="B98" t="inlineStr">
        <is>
          <t>India</t>
        </is>
      </c>
      <c r="C98" t="inlineStr">
        <is>
          <t>Tuticorin, IN</t>
        </is>
      </c>
      <c r="D98" t="inlineStr">
        <is>
          <t>Algeciras, ES</t>
        </is>
      </c>
      <c r="E98" t="n">
        <v>29</v>
      </c>
      <c r="F98" t="n">
        <v>2184</v>
      </c>
      <c r="G98" t="n">
        <v>24</v>
      </c>
      <c r="H98" t="n">
        <v>1</v>
      </c>
    </row>
    <row r="99">
      <c r="A99" t="inlineStr">
        <is>
          <t>Tuticorin, IN|Almeria, ES</t>
        </is>
      </c>
      <c r="B99" t="inlineStr">
        <is>
          <t>India</t>
        </is>
      </c>
      <c r="C99" t="inlineStr">
        <is>
          <t>Tuticorin, IN</t>
        </is>
      </c>
      <c r="D99" t="inlineStr">
        <is>
          <t>Almeria, ES</t>
        </is>
      </c>
      <c r="E99" t="n">
        <v>37</v>
      </c>
      <c r="F99" t="n">
        <v>2739</v>
      </c>
      <c r="G99" t="n">
        <v>24</v>
      </c>
      <c r="H99" t="n">
        <v>1</v>
      </c>
    </row>
    <row r="100">
      <c r="A100" t="inlineStr">
        <is>
          <t>Tuticorin, IN|Altamira, MX</t>
        </is>
      </c>
      <c r="B100" t="inlineStr">
        <is>
          <t>India</t>
        </is>
      </c>
      <c r="C100" t="inlineStr">
        <is>
          <t>Tuticorin, IN</t>
        </is>
      </c>
      <c r="D100" t="inlineStr">
        <is>
          <t>Altamira, MX</t>
        </is>
      </c>
      <c r="E100" t="n">
        <v>57</v>
      </c>
      <c r="F100" t="n">
        <v>2265</v>
      </c>
      <c r="G100" t="n">
        <v>23</v>
      </c>
      <c r="H100" t="n">
        <v>1</v>
      </c>
    </row>
    <row r="101">
      <c r="A101" t="inlineStr">
        <is>
          <t>Tuticorin, IN|Ashdod, IL</t>
        </is>
      </c>
      <c r="B101" t="inlineStr">
        <is>
          <t>India</t>
        </is>
      </c>
      <c r="C101" t="inlineStr">
        <is>
          <t>Tuticorin, IN</t>
        </is>
      </c>
      <c r="D101" t="inlineStr">
        <is>
          <t>Ashdod, IL</t>
        </is>
      </c>
      <c r="E101" t="n">
        <v>50</v>
      </c>
      <c r="F101" t="n">
        <v>2025</v>
      </c>
      <c r="G101" t="n">
        <v>25</v>
      </c>
      <c r="H101" t="n">
        <v>1</v>
      </c>
    </row>
    <row r="102">
      <c r="A102" t="inlineStr">
        <is>
          <t>Tuticorin, IN|Balboa, PA</t>
        </is>
      </c>
      <c r="B102" t="inlineStr">
        <is>
          <t>India</t>
        </is>
      </c>
      <c r="C102" t="inlineStr">
        <is>
          <t>Tuticorin, IN</t>
        </is>
      </c>
      <c r="D102" t="inlineStr">
        <is>
          <t>Balboa, PA</t>
        </is>
      </c>
      <c r="E102" t="n">
        <v>55</v>
      </c>
      <c r="F102" t="n">
        <v>2585</v>
      </c>
      <c r="G102" t="n">
        <v>23</v>
      </c>
      <c r="H102" t="n">
        <v>0</v>
      </c>
    </row>
    <row r="103">
      <c r="A103" t="inlineStr">
        <is>
          <t>Tuticorin, IN|Barcelona, ES</t>
        </is>
      </c>
      <c r="B103" t="inlineStr">
        <is>
          <t>India</t>
        </is>
      </c>
      <c r="C103" t="inlineStr">
        <is>
          <t>Tuticorin, IN</t>
        </is>
      </c>
      <c r="D103" t="inlineStr">
        <is>
          <t>Barcelona, ES</t>
        </is>
      </c>
      <c r="E103" t="n">
        <v>49</v>
      </c>
      <c r="F103" t="n">
        <v>2184</v>
      </c>
      <c r="G103" t="n">
        <v>24</v>
      </c>
      <c r="H103" t="n">
        <v>1</v>
      </c>
    </row>
    <row r="104">
      <c r="A104" t="inlineStr">
        <is>
          <t>Tuticorin, IN|Belfast Northern Ireland, GB</t>
        </is>
      </c>
      <c r="B104" t="inlineStr">
        <is>
          <t>India</t>
        </is>
      </c>
      <c r="C104" t="inlineStr">
        <is>
          <t>Tuticorin, IN</t>
        </is>
      </c>
      <c r="D104" t="inlineStr">
        <is>
          <t>Belfast Northern Ireland, GB</t>
        </is>
      </c>
      <c r="E104" t="n">
        <v>43</v>
      </c>
      <c r="F104" t="n">
        <v>2735</v>
      </c>
      <c r="G104" t="n">
        <v>23</v>
      </c>
      <c r="H104" t="n">
        <v>0</v>
      </c>
    </row>
    <row r="105">
      <c r="A105" t="inlineStr">
        <is>
          <t>Tuticorin, IN|Bilbao, ES</t>
        </is>
      </c>
      <c r="B105" t="inlineStr">
        <is>
          <t>India</t>
        </is>
      </c>
      <c r="C105" t="inlineStr">
        <is>
          <t>Tuticorin, IN</t>
        </is>
      </c>
      <c r="D105" t="inlineStr">
        <is>
          <t>Bilbao, ES</t>
        </is>
      </c>
      <c r="E105" t="n">
        <v>52</v>
      </c>
      <c r="F105" t="n">
        <v>2789</v>
      </c>
      <c r="G105" t="n">
        <v>24</v>
      </c>
      <c r="H105" t="n">
        <v>1</v>
      </c>
    </row>
    <row r="106">
      <c r="A106" t="inlineStr">
        <is>
          <t>Tuticorin, IN|Burgas, BG</t>
        </is>
      </c>
      <c r="B106" t="inlineStr">
        <is>
          <t>India</t>
        </is>
      </c>
      <c r="C106" t="inlineStr">
        <is>
          <t>Tuticorin, IN</t>
        </is>
      </c>
      <c r="D106" t="inlineStr">
        <is>
          <t>Burgas, BG</t>
        </is>
      </c>
      <c r="E106" t="n">
        <v>73</v>
      </c>
      <c r="F106" t="n">
        <v>2913</v>
      </c>
      <c r="G106" t="n">
        <v>24</v>
      </c>
      <c r="H106" t="n">
        <v>1</v>
      </c>
    </row>
    <row r="107">
      <c r="A107" t="inlineStr">
        <is>
          <t>Tuticorin, IN|Cagliari, IT</t>
        </is>
      </c>
      <c r="B107" t="inlineStr">
        <is>
          <t>India</t>
        </is>
      </c>
      <c r="C107" t="inlineStr">
        <is>
          <t>Tuticorin, IN</t>
        </is>
      </c>
      <c r="D107" t="inlineStr">
        <is>
          <t>Cagliari, IT</t>
        </is>
      </c>
      <c r="E107" t="n">
        <v>41</v>
      </c>
      <c r="F107" t="n">
        <v>2977</v>
      </c>
      <c r="G107" t="n">
        <v>23</v>
      </c>
      <c r="H107" t="n">
        <v>0</v>
      </c>
    </row>
    <row r="108">
      <c r="A108" t="inlineStr">
        <is>
          <t>Tuticorin, IN|Callao, PE</t>
        </is>
      </c>
      <c r="B108" t="inlineStr">
        <is>
          <t>India</t>
        </is>
      </c>
      <c r="C108" t="inlineStr">
        <is>
          <t>Tuticorin, IN</t>
        </is>
      </c>
      <c r="D108" t="inlineStr">
        <is>
          <t>Callao, PE</t>
        </is>
      </c>
      <c r="E108" t="n">
        <v>61</v>
      </c>
      <c r="F108" t="n">
        <v>2285</v>
      </c>
      <c r="G108" t="n">
        <v>25</v>
      </c>
      <c r="H108" t="n">
        <v>1</v>
      </c>
    </row>
    <row r="109">
      <c r="A109" t="inlineStr">
        <is>
          <t>Tuticorin, IN|Cartagena, CO</t>
        </is>
      </c>
      <c r="B109" t="inlineStr">
        <is>
          <t>India</t>
        </is>
      </c>
      <c r="C109" t="inlineStr">
        <is>
          <t>Tuticorin, IN</t>
        </is>
      </c>
      <c r="D109" t="inlineStr">
        <is>
          <t>Cartagena, CO</t>
        </is>
      </c>
      <c r="E109" t="n">
        <v>63</v>
      </c>
      <c r="F109" t="n">
        <v>2585</v>
      </c>
      <c r="G109" t="n">
        <v>23</v>
      </c>
      <c r="H109" t="n">
        <v>0</v>
      </c>
    </row>
    <row r="110">
      <c r="A110" t="inlineStr">
        <is>
          <t>Tuticorin, IN|Cartagena, ES</t>
        </is>
      </c>
      <c r="B110" t="inlineStr">
        <is>
          <t>India</t>
        </is>
      </c>
      <c r="C110" t="inlineStr">
        <is>
          <t>Tuticorin, IN</t>
        </is>
      </c>
      <c r="D110" t="inlineStr">
        <is>
          <t>Cartagena, ES</t>
        </is>
      </c>
      <c r="E110" t="n">
        <v>0</v>
      </c>
      <c r="F110" t="n">
        <v>2925</v>
      </c>
      <c r="G110" t="n">
        <v>24</v>
      </c>
      <c r="H110" t="n">
        <v>1</v>
      </c>
    </row>
    <row r="111">
      <c r="A111" t="inlineStr">
        <is>
          <t>Tuticorin, IN|Casablanca, MA</t>
        </is>
      </c>
      <c r="B111" t="inlineStr">
        <is>
          <t>India</t>
        </is>
      </c>
      <c r="C111" t="inlineStr">
        <is>
          <t>Tuticorin, IN</t>
        </is>
      </c>
      <c r="D111" t="inlineStr">
        <is>
          <t>Casablanca, MA</t>
        </is>
      </c>
      <c r="E111" t="n">
        <v>39</v>
      </c>
      <c r="F111" t="n">
        <v>2535</v>
      </c>
      <c r="G111" t="n">
        <v>27</v>
      </c>
      <c r="H111" t="n">
        <v>1</v>
      </c>
    </row>
    <row r="112">
      <c r="A112" t="inlineStr">
        <is>
          <t>Tuticorin, IN|Dublin, IE</t>
        </is>
      </c>
      <c r="B112" t="inlineStr">
        <is>
          <t>India</t>
        </is>
      </c>
      <c r="C112" t="inlineStr">
        <is>
          <t>Tuticorin, IN</t>
        </is>
      </c>
      <c r="D112" t="inlineStr">
        <is>
          <t>Dublin, IE</t>
        </is>
      </c>
      <c r="E112" t="n">
        <v>43</v>
      </c>
      <c r="F112" t="n">
        <v>3378</v>
      </c>
      <c r="G112" t="n">
        <v>23</v>
      </c>
      <c r="H112" t="n">
        <v>0</v>
      </c>
    </row>
    <row r="113">
      <c r="A113" t="inlineStr">
        <is>
          <t>Tuticorin, IN|Genoa Vado Ligure, IT</t>
        </is>
      </c>
      <c r="B113" t="inlineStr">
        <is>
          <t>India</t>
        </is>
      </c>
      <c r="C113" t="inlineStr">
        <is>
          <t>Tuticorin, IN</t>
        </is>
      </c>
      <c r="D113" t="inlineStr">
        <is>
          <t>Genoa Vado Ligure, IT</t>
        </is>
      </c>
      <c r="E113" t="n">
        <v>36</v>
      </c>
      <c r="F113" t="n">
        <v>2237</v>
      </c>
      <c r="G113" t="n">
        <v>23</v>
      </c>
      <c r="H113" t="n">
        <v>0</v>
      </c>
    </row>
    <row r="114">
      <c r="A114" t="inlineStr">
        <is>
          <t>Tuticorin, IN|Gijon, ES</t>
        </is>
      </c>
      <c r="B114" t="inlineStr">
        <is>
          <t>India</t>
        </is>
      </c>
      <c r="C114" t="inlineStr">
        <is>
          <t>Tuticorin, IN</t>
        </is>
      </c>
      <c r="D114" t="inlineStr">
        <is>
          <t>Gijon, ES</t>
        </is>
      </c>
      <c r="E114" t="n">
        <v>41</v>
      </c>
      <c r="F114" t="n">
        <v>2939</v>
      </c>
      <c r="G114" t="n">
        <v>23</v>
      </c>
      <c r="H114" t="n">
        <v>0</v>
      </c>
    </row>
    <row r="115">
      <c r="A115" t="inlineStr">
        <is>
          <t>Tuticorin, IN|Grangemouth, GB</t>
        </is>
      </c>
      <c r="B115" t="inlineStr">
        <is>
          <t>India</t>
        </is>
      </c>
      <c r="C115" t="inlineStr">
        <is>
          <t>Tuticorin, IN</t>
        </is>
      </c>
      <c r="D115" t="inlineStr">
        <is>
          <t>Grangemouth, GB</t>
        </is>
      </c>
      <c r="E115" t="n">
        <v>41</v>
      </c>
      <c r="F115" t="n">
        <v>2535</v>
      </c>
      <c r="G115" t="n">
        <v>23</v>
      </c>
      <c r="H115" t="n">
        <v>0</v>
      </c>
    </row>
    <row r="116">
      <c r="A116" t="inlineStr">
        <is>
          <t>Tuticorin, IN|Guayaquil-Posorja, EC</t>
        </is>
      </c>
      <c r="B116" t="inlineStr">
        <is>
          <t>India</t>
        </is>
      </c>
      <c r="C116" t="inlineStr">
        <is>
          <t>Tuticorin, IN</t>
        </is>
      </c>
      <c r="D116" t="inlineStr">
        <is>
          <t>Guayaquil-Posorja, EC</t>
        </is>
      </c>
      <c r="E116" t="n">
        <v>63</v>
      </c>
      <c r="F116" t="n">
        <v>2335</v>
      </c>
      <c r="G116" t="n">
        <v>25</v>
      </c>
      <c r="H116" t="n">
        <v>1</v>
      </c>
    </row>
    <row r="117">
      <c r="A117" t="inlineStr">
        <is>
          <t>Tuticorin, IN|Haifa, IL</t>
        </is>
      </c>
      <c r="B117" t="inlineStr">
        <is>
          <t>India</t>
        </is>
      </c>
      <c r="C117" t="inlineStr">
        <is>
          <t>Tuticorin, IN</t>
        </is>
      </c>
      <c r="D117" t="inlineStr">
        <is>
          <t>Haifa, IL</t>
        </is>
      </c>
      <c r="E117" t="n">
        <v>54</v>
      </c>
      <c r="F117" t="n">
        <v>2325</v>
      </c>
      <c r="G117" t="n">
        <v>23</v>
      </c>
      <c r="H117" t="n">
        <v>0</v>
      </c>
    </row>
    <row r="118">
      <c r="A118" t="inlineStr">
        <is>
          <t>Tuticorin, IN|Kingston, JM</t>
        </is>
      </c>
      <c r="B118" t="inlineStr">
        <is>
          <t>India</t>
        </is>
      </c>
      <c r="C118" t="inlineStr">
        <is>
          <t>Tuticorin, IN</t>
        </is>
      </c>
      <c r="D118" t="inlineStr">
        <is>
          <t>Kingston, JM</t>
        </is>
      </c>
      <c r="E118" t="n">
        <v>57</v>
      </c>
      <c r="F118" t="n">
        <v>3478</v>
      </c>
      <c r="G118" t="n">
        <v>23</v>
      </c>
      <c r="H118" t="n">
        <v>0</v>
      </c>
    </row>
    <row r="119">
      <c r="A119" t="inlineStr">
        <is>
          <t>Tuticorin, IN|La Spezia, IT</t>
        </is>
      </c>
      <c r="B119" t="inlineStr">
        <is>
          <t>India</t>
        </is>
      </c>
      <c r="C119" t="inlineStr">
        <is>
          <t>Tuticorin, IN</t>
        </is>
      </c>
      <c r="D119" t="inlineStr">
        <is>
          <t>La Spezia, IT</t>
        </is>
      </c>
      <c r="E119" t="n">
        <v>37</v>
      </c>
      <c r="F119" t="n">
        <v>2237</v>
      </c>
      <c r="G119" t="n">
        <v>23</v>
      </c>
      <c r="H119" t="n">
        <v>0</v>
      </c>
    </row>
    <row r="120">
      <c r="A120" t="inlineStr">
        <is>
          <t>Tuticorin, IN|Las Palmas de Gran Canaria, ES</t>
        </is>
      </c>
      <c r="B120" t="inlineStr">
        <is>
          <t>India</t>
        </is>
      </c>
      <c r="C120" t="inlineStr">
        <is>
          <t>Tuticorin, IN</t>
        </is>
      </c>
      <c r="D120" t="inlineStr">
        <is>
          <t>Las Palmas de Gran Canaria, ES</t>
        </is>
      </c>
      <c r="E120" t="n">
        <v>38</v>
      </c>
      <c r="F120" t="n">
        <v>3269</v>
      </c>
      <c r="G120" t="n">
        <v>24</v>
      </c>
      <c r="H120" t="n">
        <v>1</v>
      </c>
    </row>
    <row r="121">
      <c r="A121" t="inlineStr">
        <is>
          <t>Tuticorin, IN|Leghorn, IT</t>
        </is>
      </c>
      <c r="B121" t="inlineStr">
        <is>
          <t>India</t>
        </is>
      </c>
      <c r="C121" t="inlineStr">
        <is>
          <t>Tuticorin, IN</t>
        </is>
      </c>
      <c r="D121" t="inlineStr">
        <is>
          <t>Leghorn, IT</t>
        </is>
      </c>
      <c r="E121" t="n">
        <v>35</v>
      </c>
      <c r="F121" t="n">
        <v>2237</v>
      </c>
      <c r="G121" t="n">
        <v>23</v>
      </c>
      <c r="H121" t="n">
        <v>0</v>
      </c>
    </row>
    <row r="122">
      <c r="A122" t="inlineStr">
        <is>
          <t>Tuticorin, IN|Leixoes, PT</t>
        </is>
      </c>
      <c r="B122" t="inlineStr">
        <is>
          <t>India</t>
        </is>
      </c>
      <c r="C122" t="inlineStr">
        <is>
          <t>Tuticorin, IN</t>
        </is>
      </c>
      <c r="D122" t="inlineStr">
        <is>
          <t>Leixoes, PT</t>
        </is>
      </c>
      <c r="E122" t="n">
        <v>39</v>
      </c>
      <c r="F122" t="n">
        <v>2904</v>
      </c>
      <c r="G122" t="n">
        <v>25</v>
      </c>
      <c r="H122" t="n">
        <v>1</v>
      </c>
    </row>
    <row r="123">
      <c r="A123" t="inlineStr">
        <is>
          <t>Tuticorin, IN|Lisbon, PT</t>
        </is>
      </c>
      <c r="B123" t="inlineStr">
        <is>
          <t>India</t>
        </is>
      </c>
      <c r="C123" t="inlineStr">
        <is>
          <t>Tuticorin, IN</t>
        </is>
      </c>
      <c r="D123" t="inlineStr">
        <is>
          <t>Lisbon, PT</t>
        </is>
      </c>
      <c r="E123" t="n">
        <v>38</v>
      </c>
      <c r="F123" t="n">
        <v>2384</v>
      </c>
      <c r="G123" t="n">
        <v>25</v>
      </c>
      <c r="H123" t="n">
        <v>1</v>
      </c>
    </row>
    <row r="124">
      <c r="A124" t="inlineStr">
        <is>
          <t>Tuticorin, IN|Liverpool, GB</t>
        </is>
      </c>
      <c r="B124" t="inlineStr">
        <is>
          <t>India</t>
        </is>
      </c>
      <c r="C124" t="inlineStr">
        <is>
          <t>Tuticorin, IN</t>
        </is>
      </c>
      <c r="D124" t="inlineStr">
        <is>
          <t>Liverpool, GB</t>
        </is>
      </c>
      <c r="E124" t="n">
        <v>44</v>
      </c>
      <c r="F124" t="n">
        <v>3095</v>
      </c>
      <c r="G124" t="n">
        <v>23</v>
      </c>
      <c r="H124" t="n">
        <v>0</v>
      </c>
    </row>
    <row r="125">
      <c r="A125" t="inlineStr">
        <is>
          <t>Tuticorin, IN|London Gateway, GB</t>
        </is>
      </c>
      <c r="B125" t="inlineStr">
        <is>
          <t>India</t>
        </is>
      </c>
      <c r="C125" t="inlineStr">
        <is>
          <t>Tuticorin, IN</t>
        </is>
      </c>
      <c r="D125" t="inlineStr">
        <is>
          <t>London Gateway, GB</t>
        </is>
      </c>
      <c r="E125" t="n">
        <v>37</v>
      </c>
      <c r="F125" t="n">
        <v>2035</v>
      </c>
      <c r="G125" t="n">
        <v>26</v>
      </c>
      <c r="H125" t="n">
        <v>1</v>
      </c>
    </row>
    <row r="126">
      <c r="A126" t="inlineStr">
        <is>
          <t>Tuticorin, IN|Manzanillo, MX</t>
        </is>
      </c>
      <c r="B126" t="inlineStr">
        <is>
          <t>India</t>
        </is>
      </c>
      <c r="C126" t="inlineStr">
        <is>
          <t>Tuticorin, IN</t>
        </is>
      </c>
      <c r="D126" t="inlineStr">
        <is>
          <t>Manzanillo, MX</t>
        </is>
      </c>
      <c r="E126" t="n">
        <v>71</v>
      </c>
      <c r="F126" t="n">
        <v>2265</v>
      </c>
      <c r="G126" t="n">
        <v>23</v>
      </c>
      <c r="H126" t="n">
        <v>1</v>
      </c>
    </row>
    <row r="127">
      <c r="A127" t="inlineStr">
        <is>
          <t>Tuticorin, IN|Marin, ES</t>
        </is>
      </c>
      <c r="B127" t="inlineStr">
        <is>
          <t>India</t>
        </is>
      </c>
      <c r="C127" t="inlineStr">
        <is>
          <t>Tuticorin, IN</t>
        </is>
      </c>
      <c r="D127" t="inlineStr">
        <is>
          <t>Marin, ES</t>
        </is>
      </c>
      <c r="E127" t="n">
        <v>38</v>
      </c>
      <c r="F127" t="n">
        <v>2739</v>
      </c>
      <c r="G127" t="n">
        <v>23</v>
      </c>
      <c r="H127" t="n">
        <v>0</v>
      </c>
    </row>
    <row r="128">
      <c r="A128" t="inlineStr">
        <is>
          <t>Tuticorin, IN|Mersin, TR</t>
        </is>
      </c>
      <c r="B128" t="inlineStr">
        <is>
          <t>India</t>
        </is>
      </c>
      <c r="C128" t="inlineStr">
        <is>
          <t>Tuticorin, IN</t>
        </is>
      </c>
      <c r="D128" t="inlineStr">
        <is>
          <t>Mersin, TR</t>
        </is>
      </c>
      <c r="E128" t="n">
        <v>43</v>
      </c>
      <c r="F128" t="n">
        <v>2035</v>
      </c>
      <c r="G128" t="n">
        <v>25</v>
      </c>
      <c r="H128" t="n">
        <v>1</v>
      </c>
    </row>
    <row r="129">
      <c r="A129" t="inlineStr">
        <is>
          <t>Tuticorin, IN|Naples, IT</t>
        </is>
      </c>
      <c r="B129" t="inlineStr">
        <is>
          <t>India</t>
        </is>
      </c>
      <c r="C129" t="inlineStr">
        <is>
          <t>Tuticorin, IN</t>
        </is>
      </c>
      <c r="D129" t="inlineStr">
        <is>
          <t>Naples, IT</t>
        </is>
      </c>
      <c r="E129" t="n">
        <v>38</v>
      </c>
      <c r="F129" t="n">
        <v>2337</v>
      </c>
      <c r="G129" t="n">
        <v>23</v>
      </c>
      <c r="H129" t="n">
        <v>0</v>
      </c>
    </row>
    <row r="130">
      <c r="A130" t="inlineStr">
        <is>
          <t>Tuticorin, IN|Paita, PE</t>
        </is>
      </c>
      <c r="B130" t="inlineStr">
        <is>
          <t>India</t>
        </is>
      </c>
      <c r="C130" t="inlineStr">
        <is>
          <t>Tuticorin, IN</t>
        </is>
      </c>
      <c r="D130" t="inlineStr">
        <is>
          <t>Paita, PE</t>
        </is>
      </c>
      <c r="E130" t="n">
        <v>69</v>
      </c>
      <c r="F130" t="n">
        <v>3035</v>
      </c>
      <c r="G130" t="n">
        <v>23</v>
      </c>
      <c r="H130" t="n">
        <v>0</v>
      </c>
    </row>
    <row r="131">
      <c r="A131" t="inlineStr">
        <is>
          <t>Tuticorin, IN|Piraeus, GR</t>
        </is>
      </c>
      <c r="B131" t="inlineStr">
        <is>
          <t>India</t>
        </is>
      </c>
      <c r="C131" t="inlineStr">
        <is>
          <t>Tuticorin, IN</t>
        </is>
      </c>
      <c r="D131" t="inlineStr">
        <is>
          <t>Piraeus, GR</t>
        </is>
      </c>
      <c r="E131" t="n">
        <v>35</v>
      </c>
      <c r="F131" t="n">
        <v>2244</v>
      </c>
      <c r="G131" t="n">
        <v>25</v>
      </c>
      <c r="H131" t="n">
        <v>1</v>
      </c>
    </row>
    <row r="132">
      <c r="A132" t="inlineStr">
        <is>
          <t>Tuticorin, IN|Port Elizabeth, ZA</t>
        </is>
      </c>
      <c r="B132" t="inlineStr">
        <is>
          <t>India</t>
        </is>
      </c>
      <c r="C132" t="inlineStr">
        <is>
          <t>Tuticorin, IN</t>
        </is>
      </c>
      <c r="D132" t="inlineStr">
        <is>
          <t>Port Elizabeth, ZA</t>
        </is>
      </c>
      <c r="E132" t="n">
        <v>52</v>
      </c>
      <c r="F132" t="n">
        <v>3185</v>
      </c>
      <c r="G132" t="n">
        <v>23</v>
      </c>
      <c r="H132" t="n">
        <v>0</v>
      </c>
    </row>
    <row r="133">
      <c r="A133" t="inlineStr">
        <is>
          <t>Tuticorin, IN|Port Tangier Mediterranee, MA</t>
        </is>
      </c>
      <c r="B133" t="inlineStr">
        <is>
          <t>India</t>
        </is>
      </c>
      <c r="C133" t="inlineStr">
        <is>
          <t>Tuticorin, IN</t>
        </is>
      </c>
      <c r="D133" t="inlineStr">
        <is>
          <t>Port Tangier Mediterranee, MA</t>
        </is>
      </c>
      <c r="E133" t="n">
        <v>34</v>
      </c>
      <c r="F133" t="n">
        <v>2035</v>
      </c>
      <c r="G133" t="n">
        <v>23</v>
      </c>
      <c r="H133" t="n">
        <v>0</v>
      </c>
    </row>
    <row r="134">
      <c r="A134" t="inlineStr">
        <is>
          <t>Tuticorin, IN|Poti, GE</t>
        </is>
      </c>
      <c r="B134" t="inlineStr">
        <is>
          <t>India</t>
        </is>
      </c>
      <c r="C134" t="inlineStr">
        <is>
          <t>Tuticorin, IN</t>
        </is>
      </c>
      <c r="D134" t="inlineStr">
        <is>
          <t>Poti, GE</t>
        </is>
      </c>
      <c r="E134" t="n">
        <v>68</v>
      </c>
      <c r="F134" t="n">
        <v>2735</v>
      </c>
      <c r="G134" t="n">
        <v>27</v>
      </c>
      <c r="H134" t="n">
        <v>1</v>
      </c>
    </row>
    <row r="135">
      <c r="A135" t="inlineStr">
        <is>
          <t>Tuticorin, IN|Salerno, IT</t>
        </is>
      </c>
      <c r="B135" t="inlineStr">
        <is>
          <t>India</t>
        </is>
      </c>
      <c r="C135" t="inlineStr">
        <is>
          <t>Tuticorin, IN</t>
        </is>
      </c>
      <c r="D135" t="inlineStr">
        <is>
          <t>Salerno, IT</t>
        </is>
      </c>
      <c r="E135" t="n">
        <v>39</v>
      </c>
      <c r="F135" t="n">
        <v>2537</v>
      </c>
      <c r="G135" t="n">
        <v>23</v>
      </c>
      <c r="H135" t="n">
        <v>0</v>
      </c>
    </row>
    <row r="136">
      <c r="A136" t="inlineStr">
        <is>
          <t>Tuticorin, IN|Southampton, GB</t>
        </is>
      </c>
      <c r="B136" t="inlineStr">
        <is>
          <t>India</t>
        </is>
      </c>
      <c r="C136" t="inlineStr">
        <is>
          <t>Tuticorin, IN</t>
        </is>
      </c>
      <c r="D136" t="inlineStr">
        <is>
          <t>Southampton, GB</t>
        </is>
      </c>
      <c r="E136" t="n">
        <v>40</v>
      </c>
      <c r="F136" t="n">
        <v>2785</v>
      </c>
      <c r="G136" t="n">
        <v>26</v>
      </c>
      <c r="H136" t="n">
        <v>1</v>
      </c>
    </row>
    <row r="137">
      <c r="A137" t="inlineStr">
        <is>
          <t>Tuticorin, IN|Tarragona, ES</t>
        </is>
      </c>
      <c r="B137" t="inlineStr">
        <is>
          <t>India</t>
        </is>
      </c>
      <c r="C137" t="inlineStr">
        <is>
          <t>Tuticorin, IN</t>
        </is>
      </c>
      <c r="D137" t="inlineStr">
        <is>
          <t>Tarragona, ES</t>
        </is>
      </c>
      <c r="E137" t="n">
        <v>51</v>
      </c>
      <c r="F137" t="n">
        <v>2184</v>
      </c>
      <c r="G137" t="n">
        <v>23</v>
      </c>
      <c r="H137" t="n">
        <v>0</v>
      </c>
    </row>
    <row r="138">
      <c r="A138" t="inlineStr">
        <is>
          <t>Tuticorin, IN|Tenerife, ES</t>
        </is>
      </c>
      <c r="B138" t="inlineStr">
        <is>
          <t>India</t>
        </is>
      </c>
      <c r="C138" t="inlineStr">
        <is>
          <t>Tuticorin, IN</t>
        </is>
      </c>
      <c r="D138" t="inlineStr">
        <is>
          <t>Tenerife, ES</t>
        </is>
      </c>
      <c r="E138" t="n">
        <v>37</v>
      </c>
      <c r="F138" t="n">
        <v>3402</v>
      </c>
      <c r="G138" t="n">
        <v>24</v>
      </c>
      <c r="H138" t="n">
        <v>1</v>
      </c>
    </row>
    <row r="139">
      <c r="A139" t="inlineStr">
        <is>
          <t>Tuticorin, IN|Tunis, TN</t>
        </is>
      </c>
      <c r="B139" t="inlineStr">
        <is>
          <t>India</t>
        </is>
      </c>
      <c r="C139" t="inlineStr">
        <is>
          <t>Tuticorin, IN</t>
        </is>
      </c>
      <c r="D139" t="inlineStr">
        <is>
          <t>Tunis, TN</t>
        </is>
      </c>
      <c r="E139" t="n">
        <v>47</v>
      </c>
      <c r="F139" t="n">
        <v>5035</v>
      </c>
      <c r="G139" t="n">
        <v>23</v>
      </c>
      <c r="H139" t="n">
        <v>0</v>
      </c>
    </row>
    <row r="140">
      <c r="A140" t="inlineStr">
        <is>
          <t>Tuticorin, IN|Valencia, ES</t>
        </is>
      </c>
      <c r="B140" t="inlineStr">
        <is>
          <t>India</t>
        </is>
      </c>
      <c r="C140" t="inlineStr">
        <is>
          <t>Tuticorin, IN</t>
        </is>
      </c>
      <c r="D140" t="inlineStr">
        <is>
          <t>Valencia, ES</t>
        </is>
      </c>
      <c r="E140" t="n">
        <v>39</v>
      </c>
      <c r="F140" t="n">
        <v>2184</v>
      </c>
      <c r="G140" t="n">
        <v>24</v>
      </c>
      <c r="H140" t="n">
        <v>1</v>
      </c>
    </row>
    <row r="141">
      <c r="A141" t="inlineStr">
        <is>
          <t>Tuticorin, IN|Venezia, IT</t>
        </is>
      </c>
      <c r="B141" t="inlineStr">
        <is>
          <t>India</t>
        </is>
      </c>
      <c r="C141" t="inlineStr">
        <is>
          <t>Tuticorin, IN</t>
        </is>
      </c>
      <c r="D141" t="inlineStr">
        <is>
          <t>Venezia, IT</t>
        </is>
      </c>
      <c r="E141" t="n">
        <v>55</v>
      </c>
      <c r="F141" t="n">
        <v>2237</v>
      </c>
      <c r="G141" t="n">
        <v>23</v>
      </c>
      <c r="H141" t="n">
        <v>0</v>
      </c>
    </row>
    <row r="142">
      <c r="A142" t="inlineStr">
        <is>
          <t>Tuticorin, IN|Veracruz, MX</t>
        </is>
      </c>
      <c r="B142" t="inlineStr">
        <is>
          <t>India</t>
        </is>
      </c>
      <c r="C142" t="inlineStr">
        <is>
          <t>Tuticorin, IN</t>
        </is>
      </c>
      <c r="D142" t="inlineStr">
        <is>
          <t>Veracruz, MX</t>
        </is>
      </c>
      <c r="E142" t="n">
        <v>53</v>
      </c>
      <c r="F142" t="n">
        <v>2265</v>
      </c>
      <c r="G142" t="n">
        <v>23</v>
      </c>
      <c r="H1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2026-02-19T12:27:57Z</dcterms:created>
  <dcterms:modified xmlns:dcterms="http://purl.org/dc/terms/" xmlns:xsi="http://www.w3.org/2001/XMLSchema-instance" xsi:type="dcterms:W3CDTF">2026-02-19T12:27:57Z</dcterms:modified>
</cp:coreProperties>
</file>